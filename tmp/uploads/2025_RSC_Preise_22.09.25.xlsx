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rsczh.sharepoint.com/sites/RSCZH/Freigegebene Dokumente/Cheese Business/05_Administration/Dashboard/"/>
    </mc:Choice>
  </mc:AlternateContent>
  <xr:revisionPtr revIDLastSave="616" documentId="114_{8F2BACAF-62D4-420B-8D45-D070559464B4}" xr6:coauthVersionLast="47" xr6:coauthVersionMax="47" xr10:uidLastSave="{BAA68EEC-7F10-4832-AC6C-4518B253F298}"/>
  <bookViews>
    <workbookView xWindow="-120" yWindow="-120" windowWidth="38640" windowHeight="21120" tabRatio="596" xr2:uid="{0F255928-0AA0-4936-8EF6-7DA33F18C9F6}"/>
  </bookViews>
  <sheets>
    <sheet name="Preise" sheetId="1" r:id="rId1"/>
    <sheet name="Univita" sheetId="4" r:id="rId2"/>
    <sheet name="Rusartrade" sheetId="2" r:id="rId3"/>
  </sheets>
  <definedNames>
    <definedName name="_xlnm._FilterDatabase" localSheetId="0" hidden="1">Preise!$A$2:$WLO$313</definedName>
    <definedName name="_xlnm._FilterDatabase" localSheetId="2" hidden="1">Rusartrade!$A$2:$F$28</definedName>
    <definedName name="_xlnm._FilterDatabase" localSheetId="1" hidden="1">Univita!$A$2:$WMD$46</definedName>
    <definedName name="d" localSheetId="0" hidden="1">Preise!$A$2:$G$141</definedName>
    <definedName name="d" localSheetId="1" hidden="1">Univita!$A$2:$G$2</definedName>
    <definedName name="ddd" localSheetId="0" hidden="1">Preise!$A$2:$WLO$211</definedName>
    <definedName name="ddd" localSheetId="1" hidden="1">Univita!$A$2:$WMD$2</definedName>
    <definedName name="dgfsgsdfgsfgsdf" localSheetId="0" hidden="1">Preise!$A$2:$WLO$221</definedName>
    <definedName name="dgfsgsdfgsfgsdf" localSheetId="1" hidden="1">Univita!$A$2:$WMD$2</definedName>
    <definedName name="ggggggggggggggggg" localSheetId="0" hidden="1">Preise!$A$2:$WLO$221</definedName>
    <definedName name="ggggggggggggggggg" localSheetId="1" hidden="1">Univita!$A$2:$WMD$2</definedName>
    <definedName name="hjgjdgjdfhj" localSheetId="0" hidden="1">Preise!$A$2:$WLO$221</definedName>
    <definedName name="hjgjdgjdfhj" localSheetId="1" hidden="1">Univita!$A$2:$WMD$2</definedName>
    <definedName name="jj" localSheetId="0" hidden="1">Preise!$A$2:$G$179</definedName>
    <definedName name="jj" localSheetId="1" hidden="1">Univita!$A$2:$G$2</definedName>
    <definedName name="jjjjjj" localSheetId="0" hidden="1">Preise!$A$2:$I$195</definedName>
    <definedName name="jjjjjj" localSheetId="1" hidden="1">Univita!$A$2:$H$2</definedName>
    <definedName name="kkk" localSheetId="0" hidden="1">Preise!$A$2:$G$131</definedName>
    <definedName name="kkk" localSheetId="1" hidden="1">Univita!$A$2:$G$2</definedName>
    <definedName name="kkkkkkkkkkkkkkkkkkkkkk" localSheetId="0" hidden="1">Preise!$A$2:$WLO$221</definedName>
    <definedName name="kkkkkkkkkkkkkkkkkkkkkk" localSheetId="1" hidden="1">Univita!$A$2:$WMD$2</definedName>
    <definedName name="rrrr" localSheetId="0" hidden="1">Preise!$A$2:$G$179</definedName>
    <definedName name="rrrr" localSheetId="1" hidden="1">Univita!$A$2:$G$2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2" l="1"/>
  <c r="M28" i="2"/>
  <c r="L28" i="2"/>
  <c r="M27" i="2"/>
  <c r="N27" i="2" s="1"/>
  <c r="L27" i="2"/>
  <c r="M26" i="2"/>
  <c r="N26" i="2" s="1"/>
  <c r="L26" i="2"/>
  <c r="M25" i="2"/>
  <c r="N25" i="2" s="1"/>
  <c r="L25" i="2"/>
  <c r="M24" i="2"/>
  <c r="N24" i="2" s="1"/>
  <c r="L24" i="2"/>
  <c r="M23" i="2"/>
  <c r="N23" i="2" s="1"/>
  <c r="L23" i="2"/>
  <c r="M22" i="2"/>
  <c r="N22" i="2" s="1"/>
  <c r="L22" i="2"/>
  <c r="M21" i="2"/>
  <c r="N21" i="2" s="1"/>
  <c r="L21" i="2"/>
  <c r="M20" i="2"/>
  <c r="N20" i="2" s="1"/>
  <c r="L20" i="2"/>
  <c r="M19" i="2"/>
  <c r="N19" i="2" s="1"/>
  <c r="L19" i="2"/>
  <c r="M18" i="2"/>
  <c r="N18" i="2" s="1"/>
  <c r="L18" i="2"/>
  <c r="M17" i="2"/>
  <c r="N17" i="2" s="1"/>
  <c r="L17" i="2"/>
  <c r="U16" i="2"/>
  <c r="W16" i="2" s="1"/>
  <c r="X16" i="2" s="1"/>
  <c r="P16" i="2"/>
  <c r="R16" i="2" s="1"/>
  <c r="S16" i="2" s="1"/>
  <c r="J16" i="2"/>
  <c r="M16" i="2" s="1"/>
  <c r="N16" i="2" s="1"/>
  <c r="U15" i="2"/>
  <c r="W15" i="2" s="1"/>
  <c r="X15" i="2" s="1"/>
  <c r="P15" i="2"/>
  <c r="R15" i="2" s="1"/>
  <c r="S15" i="2" s="1"/>
  <c r="J15" i="2"/>
  <c r="M15" i="2" s="1"/>
  <c r="N15" i="2" s="1"/>
  <c r="U14" i="2"/>
  <c r="W14" i="2" s="1"/>
  <c r="X14" i="2" s="1"/>
  <c r="P14" i="2"/>
  <c r="R14" i="2" s="1"/>
  <c r="S14" i="2" s="1"/>
  <c r="J14" i="2"/>
  <c r="M14" i="2" s="1"/>
  <c r="N14" i="2" s="1"/>
  <c r="U13" i="2"/>
  <c r="W13" i="2" s="1"/>
  <c r="X13" i="2" s="1"/>
  <c r="P13" i="2"/>
  <c r="R13" i="2" s="1"/>
  <c r="S13" i="2" s="1"/>
  <c r="J13" i="2"/>
  <c r="M13" i="2" s="1"/>
  <c r="N13" i="2" s="1"/>
  <c r="U12" i="2"/>
  <c r="W12" i="2" s="1"/>
  <c r="X12" i="2" s="1"/>
  <c r="P12" i="2"/>
  <c r="R12" i="2" s="1"/>
  <c r="S12" i="2" s="1"/>
  <c r="J12" i="2"/>
  <c r="M12" i="2" s="1"/>
  <c r="N12" i="2" s="1"/>
  <c r="U11" i="2"/>
  <c r="W11" i="2" s="1"/>
  <c r="X11" i="2" s="1"/>
  <c r="P11" i="2"/>
  <c r="R11" i="2" s="1"/>
  <c r="S11" i="2" s="1"/>
  <c r="J11" i="2"/>
  <c r="M11" i="2" s="1"/>
  <c r="N11" i="2" s="1"/>
  <c r="U10" i="2"/>
  <c r="W10" i="2" s="1"/>
  <c r="X10" i="2" s="1"/>
  <c r="P10" i="2"/>
  <c r="R10" i="2" s="1"/>
  <c r="S10" i="2" s="1"/>
  <c r="J10" i="2"/>
  <c r="M10" i="2" s="1"/>
  <c r="N10" i="2" s="1"/>
  <c r="U9" i="2"/>
  <c r="W9" i="2" s="1"/>
  <c r="X9" i="2" s="1"/>
  <c r="P9" i="2"/>
  <c r="R9" i="2" s="1"/>
  <c r="S9" i="2" s="1"/>
  <c r="J9" i="2"/>
  <c r="M9" i="2" s="1"/>
  <c r="N9" i="2" s="1"/>
  <c r="U8" i="2"/>
  <c r="W8" i="2" s="1"/>
  <c r="X8" i="2" s="1"/>
  <c r="P8" i="2"/>
  <c r="R8" i="2" s="1"/>
  <c r="S8" i="2" s="1"/>
  <c r="J8" i="2"/>
  <c r="M8" i="2" s="1"/>
  <c r="N8" i="2" s="1"/>
  <c r="U7" i="2"/>
  <c r="W7" i="2" s="1"/>
  <c r="X7" i="2" s="1"/>
  <c r="P7" i="2"/>
  <c r="R7" i="2" s="1"/>
  <c r="S7" i="2" s="1"/>
  <c r="J7" i="2"/>
  <c r="M7" i="2" s="1"/>
  <c r="N7" i="2" s="1"/>
  <c r="U6" i="2"/>
  <c r="W6" i="2" s="1"/>
  <c r="X6" i="2" s="1"/>
  <c r="P6" i="2"/>
  <c r="R6" i="2" s="1"/>
  <c r="S6" i="2" s="1"/>
  <c r="J6" i="2"/>
  <c r="M6" i="2" s="1"/>
  <c r="N6" i="2" s="1"/>
  <c r="U5" i="2"/>
  <c r="W5" i="2" s="1"/>
  <c r="X5" i="2" s="1"/>
  <c r="P5" i="2"/>
  <c r="R5" i="2" s="1"/>
  <c r="S5" i="2" s="1"/>
  <c r="J5" i="2"/>
  <c r="M5" i="2" s="1"/>
  <c r="N5" i="2" s="1"/>
  <c r="U4" i="2"/>
  <c r="W4" i="2" s="1"/>
  <c r="X4" i="2" s="1"/>
  <c r="P4" i="2"/>
  <c r="R4" i="2" s="1"/>
  <c r="S4" i="2" s="1"/>
  <c r="J4" i="2"/>
  <c r="M4" i="2" s="1"/>
  <c r="N4" i="2" s="1"/>
  <c r="U3" i="2"/>
  <c r="W3" i="2" s="1"/>
  <c r="X3" i="2" s="1"/>
  <c r="P3" i="2"/>
  <c r="R3" i="2" s="1"/>
  <c r="S3" i="2" s="1"/>
  <c r="J3" i="2"/>
  <c r="M3" i="2" s="1"/>
  <c r="N3" i="2" s="1"/>
  <c r="N46" i="4"/>
  <c r="O46" i="4" s="1"/>
  <c r="N45" i="4"/>
  <c r="O45" i="4" s="1"/>
  <c r="N44" i="4"/>
  <c r="O44" i="4" s="1"/>
  <c r="N43" i="4"/>
  <c r="O43" i="4" s="1"/>
  <c r="N42" i="4"/>
  <c r="O42" i="4" s="1"/>
  <c r="N41" i="4"/>
  <c r="O41" i="4" s="1"/>
  <c r="N40" i="4"/>
  <c r="O40" i="4" s="1"/>
  <c r="N39" i="4"/>
  <c r="O39" i="4" s="1"/>
  <c r="N38" i="4"/>
  <c r="O38" i="4" s="1"/>
  <c r="N37" i="4"/>
  <c r="O37" i="4" s="1"/>
  <c r="N36" i="4"/>
  <c r="O36" i="4" s="1"/>
  <c r="N35" i="4"/>
  <c r="O35" i="4" s="1"/>
  <c r="J34" i="4"/>
  <c r="N34" i="4" s="1"/>
  <c r="O34" i="4" s="1"/>
  <c r="J33" i="4"/>
  <c r="N33" i="4" s="1"/>
  <c r="O33" i="4" s="1"/>
  <c r="J32" i="4"/>
  <c r="N32" i="4" s="1"/>
  <c r="O32" i="4" s="1"/>
  <c r="J31" i="4"/>
  <c r="N31" i="4" s="1"/>
  <c r="O31" i="4" s="1"/>
  <c r="J30" i="4"/>
  <c r="N30" i="4" s="1"/>
  <c r="O30" i="4" s="1"/>
  <c r="K29" i="4"/>
  <c r="J29" i="4"/>
  <c r="K28" i="4"/>
  <c r="J28" i="4"/>
  <c r="K27" i="4"/>
  <c r="J27" i="4"/>
  <c r="K26" i="4"/>
  <c r="J26" i="4"/>
  <c r="J25" i="4"/>
  <c r="N25" i="4" s="1"/>
  <c r="O25" i="4" s="1"/>
  <c r="J24" i="4"/>
  <c r="N24" i="4" s="1"/>
  <c r="O24" i="4" s="1"/>
  <c r="J23" i="4"/>
  <c r="N23" i="4" s="1"/>
  <c r="O23" i="4" s="1"/>
  <c r="J22" i="4"/>
  <c r="N22" i="4" s="1"/>
  <c r="O22" i="4" s="1"/>
  <c r="N21" i="4"/>
  <c r="O21" i="4" s="1"/>
  <c r="K20" i="4"/>
  <c r="N20" i="4" s="1"/>
  <c r="O20" i="4" s="1"/>
  <c r="N19" i="4"/>
  <c r="O19" i="4" s="1"/>
  <c r="N18" i="4"/>
  <c r="O18" i="4" s="1"/>
  <c r="N17" i="4"/>
  <c r="O17" i="4" s="1"/>
  <c r="N16" i="4"/>
  <c r="O16" i="4" s="1"/>
  <c r="N15" i="4"/>
  <c r="O15" i="4" s="1"/>
  <c r="N14" i="4"/>
  <c r="O14" i="4" s="1"/>
  <c r="N13" i="4"/>
  <c r="O13" i="4" s="1"/>
  <c r="N12" i="4"/>
  <c r="O12" i="4" s="1"/>
  <c r="K11" i="4"/>
  <c r="N11" i="4" s="1"/>
  <c r="O11" i="4" s="1"/>
  <c r="N10" i="4"/>
  <c r="O10" i="4" s="1"/>
  <c r="K9" i="4"/>
  <c r="N9" i="4" s="1"/>
  <c r="O9" i="4" s="1"/>
  <c r="N8" i="4"/>
  <c r="O8" i="4" s="1"/>
  <c r="N7" i="4"/>
  <c r="O7" i="4" s="1"/>
  <c r="N6" i="4"/>
  <c r="O6" i="4" s="1"/>
  <c r="N5" i="4"/>
  <c r="O5" i="4" s="1"/>
  <c r="N4" i="4"/>
  <c r="O4" i="4" s="1"/>
  <c r="N3" i="4"/>
  <c r="O3" i="4" s="1"/>
  <c r="V313" i="1"/>
  <c r="P313" i="1" s="1"/>
  <c r="Q313" i="1" s="1"/>
  <c r="V312" i="1"/>
  <c r="P312" i="1" s="1"/>
  <c r="Q312" i="1" s="1"/>
  <c r="V311" i="1"/>
  <c r="P311" i="1" s="1"/>
  <c r="Q311" i="1" s="1"/>
  <c r="V310" i="1"/>
  <c r="P310" i="1" s="1"/>
  <c r="Q310" i="1" s="1"/>
  <c r="V309" i="1"/>
  <c r="P309" i="1" s="1"/>
  <c r="Q309" i="1" s="1"/>
  <c r="V308" i="1"/>
  <c r="P308" i="1" s="1"/>
  <c r="Q308" i="1" s="1"/>
  <c r="V307" i="1"/>
  <c r="P307" i="1" s="1"/>
  <c r="Q307" i="1" s="1"/>
  <c r="V306" i="1"/>
  <c r="P306" i="1" s="1"/>
  <c r="Q306" i="1" s="1"/>
  <c r="V305" i="1"/>
  <c r="P305" i="1" s="1"/>
  <c r="Q305" i="1" s="1"/>
  <c r="V304" i="1"/>
  <c r="P304" i="1" s="1"/>
  <c r="Q304" i="1" s="1"/>
  <c r="V303" i="1"/>
  <c r="P303" i="1" s="1"/>
  <c r="Q303" i="1" s="1"/>
  <c r="V302" i="1"/>
  <c r="P302" i="1" s="1"/>
  <c r="Q302" i="1" s="1"/>
  <c r="V301" i="1"/>
  <c r="Q301" i="1"/>
  <c r="V300" i="1"/>
  <c r="Q300" i="1"/>
  <c r="V299" i="1"/>
  <c r="P299" i="1" s="1"/>
  <c r="Q299" i="1" s="1"/>
  <c r="V298" i="1"/>
  <c r="P298" i="1" s="1"/>
  <c r="Q298" i="1" s="1"/>
  <c r="V297" i="1"/>
  <c r="P297" i="1" s="1"/>
  <c r="Q297" i="1" s="1"/>
  <c r="P296" i="1"/>
  <c r="Q296" i="1" s="1"/>
  <c r="P295" i="1"/>
  <c r="Q295" i="1" s="1"/>
  <c r="P294" i="1"/>
  <c r="Q294" i="1" s="1"/>
  <c r="P293" i="1"/>
  <c r="Q293" i="1" s="1"/>
  <c r="P292" i="1"/>
  <c r="Q292" i="1" s="1"/>
  <c r="P291" i="1"/>
  <c r="Q291" i="1" s="1"/>
  <c r="P290" i="1"/>
  <c r="Q290" i="1" s="1"/>
  <c r="P289" i="1"/>
  <c r="Q289" i="1" s="1"/>
  <c r="P288" i="1"/>
  <c r="Q288" i="1" s="1"/>
  <c r="P287" i="1"/>
  <c r="Q287" i="1" s="1"/>
  <c r="P286" i="1"/>
  <c r="Q286" i="1" s="1"/>
  <c r="P285" i="1"/>
  <c r="Q285" i="1" s="1"/>
  <c r="P284" i="1"/>
  <c r="Q284" i="1" s="1"/>
  <c r="M283" i="1"/>
  <c r="P283" i="1" s="1"/>
  <c r="Q283" i="1" s="1"/>
  <c r="M282" i="1"/>
  <c r="L282" i="1"/>
  <c r="P281" i="1"/>
  <c r="Q281" i="1" s="1"/>
  <c r="M280" i="1"/>
  <c r="L280" i="1"/>
  <c r="P279" i="1"/>
  <c r="Q279" i="1" s="1"/>
  <c r="M278" i="1"/>
  <c r="P278" i="1" s="1"/>
  <c r="Q278" i="1" s="1"/>
  <c r="P277" i="1"/>
  <c r="Q277" i="1" s="1"/>
  <c r="N277" i="1"/>
  <c r="P276" i="1"/>
  <c r="Q276" i="1" s="1"/>
  <c r="N276" i="1"/>
  <c r="N275" i="1"/>
  <c r="L275" i="1"/>
  <c r="P275" i="1" s="1"/>
  <c r="Q275" i="1" s="1"/>
  <c r="N274" i="1"/>
  <c r="L274" i="1"/>
  <c r="P274" i="1" s="1"/>
  <c r="Q274" i="1" s="1"/>
  <c r="N273" i="1"/>
  <c r="L273" i="1"/>
  <c r="P273" i="1" s="1"/>
  <c r="Q273" i="1" s="1"/>
  <c r="N272" i="1"/>
  <c r="L272" i="1"/>
  <c r="P272" i="1" s="1"/>
  <c r="Q272" i="1" s="1"/>
  <c r="P271" i="1"/>
  <c r="Q271" i="1" s="1"/>
  <c r="N271" i="1"/>
  <c r="P270" i="1"/>
  <c r="Q270" i="1" s="1"/>
  <c r="N270" i="1"/>
  <c r="P269" i="1"/>
  <c r="Q269" i="1" s="1"/>
  <c r="P268" i="1"/>
  <c r="Q268" i="1" s="1"/>
  <c r="P267" i="1"/>
  <c r="Q267" i="1" s="1"/>
  <c r="P266" i="1"/>
  <c r="Q266" i="1" s="1"/>
  <c r="P265" i="1"/>
  <c r="Q265" i="1" s="1"/>
  <c r="P264" i="1"/>
  <c r="Q264" i="1" s="1"/>
  <c r="P263" i="1"/>
  <c r="Q263" i="1" s="1"/>
  <c r="P262" i="1"/>
  <c r="Q262" i="1" s="1"/>
  <c r="P261" i="1"/>
  <c r="Q261" i="1" s="1"/>
  <c r="P260" i="1"/>
  <c r="Q260" i="1" s="1"/>
  <c r="P259" i="1"/>
  <c r="Q259" i="1" s="1"/>
  <c r="M258" i="1"/>
  <c r="P258" i="1" s="1"/>
  <c r="Q258" i="1" s="1"/>
  <c r="M257" i="1"/>
  <c r="P257" i="1" s="1"/>
  <c r="Q257" i="1" s="1"/>
  <c r="N256" i="1"/>
  <c r="M256" i="1"/>
  <c r="P256" i="1" s="1"/>
  <c r="Q256" i="1" s="1"/>
  <c r="N255" i="1"/>
  <c r="M255" i="1"/>
  <c r="P255" i="1" s="1"/>
  <c r="Q255" i="1" s="1"/>
  <c r="P254" i="1"/>
  <c r="Q254" i="1" s="1"/>
  <c r="P253" i="1"/>
  <c r="Q253" i="1" s="1"/>
  <c r="P252" i="1"/>
  <c r="Q252" i="1" s="1"/>
  <c r="P251" i="1"/>
  <c r="Q251" i="1" s="1"/>
  <c r="P250" i="1"/>
  <c r="Q250" i="1" s="1"/>
  <c r="P249" i="1"/>
  <c r="Q249" i="1" s="1"/>
  <c r="P248" i="1"/>
  <c r="Q248" i="1" s="1"/>
  <c r="P247" i="1"/>
  <c r="Q247" i="1" s="1"/>
  <c r="P246" i="1"/>
  <c r="Q246" i="1" s="1"/>
  <c r="P245" i="1"/>
  <c r="Q245" i="1" s="1"/>
  <c r="P244" i="1"/>
  <c r="Q244" i="1" s="1"/>
  <c r="P243" i="1"/>
  <c r="Q243" i="1" s="1"/>
  <c r="P242" i="1"/>
  <c r="Q242" i="1" s="1"/>
  <c r="P241" i="1"/>
  <c r="Q241" i="1" s="1"/>
  <c r="P240" i="1"/>
  <c r="Q240" i="1" s="1"/>
  <c r="P239" i="1"/>
  <c r="Q239" i="1" s="1"/>
  <c r="P238" i="1"/>
  <c r="Q238" i="1" s="1"/>
  <c r="P237" i="1"/>
  <c r="Q237" i="1" s="1"/>
  <c r="P236" i="1"/>
  <c r="Q236" i="1" s="1"/>
  <c r="P235" i="1"/>
  <c r="Q235" i="1" s="1"/>
  <c r="P234" i="1"/>
  <c r="Q234" i="1" s="1"/>
  <c r="P233" i="1"/>
  <c r="Q233" i="1" s="1"/>
  <c r="P232" i="1"/>
  <c r="Q232" i="1" s="1"/>
  <c r="P231" i="1"/>
  <c r="Q231" i="1" s="1"/>
  <c r="P230" i="1"/>
  <c r="Q230" i="1" s="1"/>
  <c r="P229" i="1"/>
  <c r="Q229" i="1" s="1"/>
  <c r="P228" i="1"/>
  <c r="Q228" i="1" s="1"/>
  <c r="P227" i="1"/>
  <c r="Q227" i="1" s="1"/>
  <c r="P226" i="1"/>
  <c r="Q226" i="1" s="1"/>
  <c r="P225" i="1"/>
  <c r="Q225" i="1" s="1"/>
  <c r="P224" i="1"/>
  <c r="Q224" i="1" s="1"/>
  <c r="P223" i="1"/>
  <c r="Q223" i="1" s="1"/>
  <c r="P222" i="1"/>
  <c r="Q222" i="1" s="1"/>
  <c r="P221" i="1"/>
  <c r="Q221" i="1" s="1"/>
  <c r="P220" i="1"/>
  <c r="Q220" i="1" s="1"/>
  <c r="P219" i="1"/>
  <c r="Q219" i="1" s="1"/>
  <c r="P218" i="1"/>
  <c r="Q218" i="1" s="1"/>
  <c r="P217" i="1"/>
  <c r="Q217" i="1" s="1"/>
  <c r="P216" i="1"/>
  <c r="Q216" i="1" s="1"/>
  <c r="N216" i="1"/>
  <c r="P215" i="1"/>
  <c r="Q215" i="1" s="1"/>
  <c r="N215" i="1"/>
  <c r="P214" i="1"/>
  <c r="Q214" i="1" s="1"/>
  <c r="N214" i="1"/>
  <c r="P213" i="1"/>
  <c r="Q213" i="1" s="1"/>
  <c r="N213" i="1"/>
  <c r="P212" i="1"/>
  <c r="Q212" i="1" s="1"/>
  <c r="N212" i="1"/>
  <c r="P211" i="1"/>
  <c r="Q211" i="1" s="1"/>
  <c r="N211" i="1"/>
  <c r="P210" i="1"/>
  <c r="Q210" i="1" s="1"/>
  <c r="N210" i="1"/>
  <c r="P209" i="1"/>
  <c r="Q209" i="1" s="1"/>
  <c r="N209" i="1"/>
  <c r="P208" i="1"/>
  <c r="Q208" i="1" s="1"/>
  <c r="N208" i="1"/>
  <c r="Q207" i="1"/>
  <c r="N207" i="1"/>
  <c r="Q206" i="1"/>
  <c r="N206" i="1"/>
  <c r="P205" i="1"/>
  <c r="Q205" i="1" s="1"/>
  <c r="N205" i="1"/>
  <c r="M204" i="1"/>
  <c r="P204" i="1" s="1"/>
  <c r="Q204" i="1" s="1"/>
  <c r="M203" i="1"/>
  <c r="P203" i="1" s="1"/>
  <c r="Q203" i="1" s="1"/>
  <c r="M202" i="1"/>
  <c r="N202" i="1" s="1"/>
  <c r="P201" i="1"/>
  <c r="Q201" i="1" s="1"/>
  <c r="N201" i="1"/>
  <c r="P200" i="1"/>
  <c r="Q200" i="1" s="1"/>
  <c r="N200" i="1"/>
  <c r="P199" i="1"/>
  <c r="Q199" i="1" s="1"/>
  <c r="N199" i="1"/>
  <c r="L198" i="1"/>
  <c r="P198" i="1" s="1"/>
  <c r="Q198" i="1" s="1"/>
  <c r="L197" i="1"/>
  <c r="P197" i="1" s="1"/>
  <c r="Q197" i="1" s="1"/>
  <c r="P196" i="1"/>
  <c r="Q196" i="1" s="1"/>
  <c r="S195" i="1"/>
  <c r="T195" i="1" s="1"/>
  <c r="P195" i="1"/>
  <c r="Q195" i="1" s="1"/>
  <c r="S194" i="1"/>
  <c r="T194" i="1" s="1"/>
  <c r="P194" i="1"/>
  <c r="Q194" i="1" s="1"/>
  <c r="S193" i="1"/>
  <c r="T193" i="1" s="1"/>
  <c r="P193" i="1"/>
  <c r="Q193" i="1" s="1"/>
  <c r="S192" i="1"/>
  <c r="T192" i="1" s="1"/>
  <c r="P192" i="1"/>
  <c r="Q192" i="1" s="1"/>
  <c r="S191" i="1"/>
  <c r="T191" i="1" s="1"/>
  <c r="P191" i="1"/>
  <c r="Q191" i="1" s="1"/>
  <c r="S190" i="1"/>
  <c r="T190" i="1" s="1"/>
  <c r="P190" i="1"/>
  <c r="Q190" i="1" s="1"/>
  <c r="L189" i="1"/>
  <c r="P189" i="1" s="1"/>
  <c r="Q189" i="1" s="1"/>
  <c r="L188" i="1"/>
  <c r="S188" i="1" s="1"/>
  <c r="T188" i="1" s="1"/>
  <c r="S187" i="1"/>
  <c r="T187" i="1" s="1"/>
  <c r="P187" i="1"/>
  <c r="Q187" i="1" s="1"/>
  <c r="S186" i="1"/>
  <c r="T186" i="1" s="1"/>
  <c r="P186" i="1"/>
  <c r="Q186" i="1" s="1"/>
  <c r="P185" i="1"/>
  <c r="Q185" i="1" s="1"/>
  <c r="P184" i="1"/>
  <c r="Q184" i="1" s="1"/>
  <c r="P183" i="1"/>
  <c r="Q183" i="1" s="1"/>
  <c r="P182" i="1"/>
  <c r="Q182" i="1" s="1"/>
  <c r="P181" i="1"/>
  <c r="Q181" i="1" s="1"/>
  <c r="P180" i="1"/>
  <c r="Q180" i="1" s="1"/>
  <c r="P179" i="1"/>
  <c r="Q179" i="1" s="1"/>
  <c r="P178" i="1"/>
  <c r="Q178" i="1" s="1"/>
  <c r="P177" i="1"/>
  <c r="Q177" i="1" s="1"/>
  <c r="P176" i="1"/>
  <c r="Q176" i="1" s="1"/>
  <c r="P175" i="1"/>
  <c r="Q175" i="1" s="1"/>
  <c r="P174" i="1"/>
  <c r="Q174" i="1" s="1"/>
  <c r="P173" i="1"/>
  <c r="Q173" i="1" s="1"/>
  <c r="P172" i="1"/>
  <c r="Q172" i="1" s="1"/>
  <c r="P171" i="1"/>
  <c r="Q171" i="1" s="1"/>
  <c r="P170" i="1"/>
  <c r="Q170" i="1" s="1"/>
  <c r="P169" i="1"/>
  <c r="Q169" i="1" s="1"/>
  <c r="P168" i="1"/>
  <c r="Q168" i="1" s="1"/>
  <c r="P167" i="1"/>
  <c r="Q167" i="1" s="1"/>
  <c r="P166" i="1"/>
  <c r="Q166" i="1" s="1"/>
  <c r="P165" i="1"/>
  <c r="Q165" i="1" s="1"/>
  <c r="P164" i="1"/>
  <c r="Q164" i="1" s="1"/>
  <c r="P163" i="1"/>
  <c r="Q163" i="1" s="1"/>
  <c r="P162" i="1"/>
  <c r="Q162" i="1" s="1"/>
  <c r="P161" i="1"/>
  <c r="Q161" i="1" s="1"/>
  <c r="P160" i="1"/>
  <c r="Q160" i="1" s="1"/>
  <c r="P159" i="1"/>
  <c r="Q159" i="1" s="1"/>
  <c r="P158" i="1"/>
  <c r="Q158" i="1" s="1"/>
  <c r="P157" i="1"/>
  <c r="Q157" i="1" s="1"/>
  <c r="P156" i="1"/>
  <c r="Q156" i="1" s="1"/>
  <c r="P155" i="1"/>
  <c r="Q155" i="1" s="1"/>
  <c r="P154" i="1"/>
  <c r="Q154" i="1" s="1"/>
  <c r="P153" i="1"/>
  <c r="Q153" i="1" s="1"/>
  <c r="P152" i="1"/>
  <c r="Q152" i="1" s="1"/>
  <c r="P151" i="1"/>
  <c r="Q151" i="1" s="1"/>
  <c r="P150" i="1"/>
  <c r="Q150" i="1" s="1"/>
  <c r="P149" i="1"/>
  <c r="Q149" i="1" s="1"/>
  <c r="P148" i="1"/>
  <c r="Q148" i="1" s="1"/>
  <c r="P147" i="1"/>
  <c r="Q147" i="1" s="1"/>
  <c r="P146" i="1"/>
  <c r="Q146" i="1" s="1"/>
  <c r="P145" i="1"/>
  <c r="Q145" i="1" s="1"/>
  <c r="P144" i="1"/>
  <c r="Q144" i="1" s="1"/>
  <c r="P143" i="1"/>
  <c r="Q143" i="1" s="1"/>
  <c r="P142" i="1"/>
  <c r="Q142" i="1" s="1"/>
  <c r="P141" i="1"/>
  <c r="Q141" i="1" s="1"/>
  <c r="P140" i="1"/>
  <c r="Q140" i="1" s="1"/>
  <c r="P139" i="1"/>
  <c r="Q139" i="1" s="1"/>
  <c r="P138" i="1"/>
  <c r="Q138" i="1" s="1"/>
  <c r="P137" i="1"/>
  <c r="Q137" i="1" s="1"/>
  <c r="P136" i="1"/>
  <c r="Q136" i="1" s="1"/>
  <c r="P135" i="1"/>
  <c r="Q135" i="1" s="1"/>
  <c r="P134" i="1"/>
  <c r="Q134" i="1" s="1"/>
  <c r="P133" i="1"/>
  <c r="Q133" i="1" s="1"/>
  <c r="P132" i="1"/>
  <c r="Q132" i="1" s="1"/>
  <c r="P131" i="1"/>
  <c r="Q131" i="1" s="1"/>
  <c r="P130" i="1"/>
  <c r="Q130" i="1" s="1"/>
  <c r="P129" i="1"/>
  <c r="Q129" i="1" s="1"/>
  <c r="P128" i="1"/>
  <c r="Q128" i="1" s="1"/>
  <c r="P127" i="1"/>
  <c r="Q127" i="1" s="1"/>
  <c r="P126" i="1"/>
  <c r="Q126" i="1" s="1"/>
  <c r="P125" i="1"/>
  <c r="Q125" i="1" s="1"/>
  <c r="P124" i="1"/>
  <c r="Q124" i="1" s="1"/>
  <c r="P123" i="1"/>
  <c r="Q123" i="1" s="1"/>
  <c r="P122" i="1"/>
  <c r="Q122" i="1" s="1"/>
  <c r="P121" i="1"/>
  <c r="Q121" i="1" s="1"/>
  <c r="P120" i="1"/>
  <c r="Q120" i="1" s="1"/>
  <c r="P119" i="1"/>
  <c r="Q119" i="1" s="1"/>
  <c r="P118" i="1"/>
  <c r="Q118" i="1" s="1"/>
  <c r="P117" i="1"/>
  <c r="Q117" i="1" s="1"/>
  <c r="P116" i="1"/>
  <c r="Q116" i="1" s="1"/>
  <c r="P115" i="1"/>
  <c r="Q115" i="1" s="1"/>
  <c r="P114" i="1"/>
  <c r="Q114" i="1" s="1"/>
  <c r="P113" i="1"/>
  <c r="Q113" i="1" s="1"/>
  <c r="P112" i="1"/>
  <c r="Q112" i="1" s="1"/>
  <c r="P111" i="1"/>
  <c r="Q111" i="1" s="1"/>
  <c r="P110" i="1"/>
  <c r="Q110" i="1" s="1"/>
  <c r="L109" i="1"/>
  <c r="P109" i="1" s="1"/>
  <c r="Q109" i="1" s="1"/>
  <c r="L108" i="1"/>
  <c r="P108" i="1" s="1"/>
  <c r="Q108" i="1" s="1"/>
  <c r="L107" i="1"/>
  <c r="P107" i="1" s="1"/>
  <c r="Q107" i="1" s="1"/>
  <c r="P106" i="1"/>
  <c r="Q106" i="1" s="1"/>
  <c r="P105" i="1"/>
  <c r="Q105" i="1" s="1"/>
  <c r="P104" i="1"/>
  <c r="Q104" i="1" s="1"/>
  <c r="P103" i="1"/>
  <c r="Q103" i="1" s="1"/>
  <c r="P102" i="1"/>
  <c r="Q102" i="1" s="1"/>
  <c r="P101" i="1"/>
  <c r="Q101" i="1" s="1"/>
  <c r="P100" i="1"/>
  <c r="Q100" i="1" s="1"/>
  <c r="P99" i="1"/>
  <c r="Q99" i="1" s="1"/>
  <c r="P98" i="1"/>
  <c r="Q98" i="1" s="1"/>
  <c r="P97" i="1"/>
  <c r="Q97" i="1" s="1"/>
  <c r="P96" i="1"/>
  <c r="Q96" i="1" s="1"/>
  <c r="P95" i="1"/>
  <c r="Q95" i="1" s="1"/>
  <c r="P94" i="1"/>
  <c r="Q94" i="1" s="1"/>
  <c r="P93" i="1"/>
  <c r="Q93" i="1" s="1"/>
  <c r="P92" i="1"/>
  <c r="Q92" i="1" s="1"/>
  <c r="P91" i="1"/>
  <c r="Q91" i="1" s="1"/>
  <c r="P90" i="1"/>
  <c r="Q90" i="1" s="1"/>
  <c r="P89" i="1"/>
  <c r="Q89" i="1" s="1"/>
  <c r="P88" i="1"/>
  <c r="Q88" i="1" s="1"/>
  <c r="P87" i="1"/>
  <c r="Q87" i="1" s="1"/>
  <c r="M86" i="1"/>
  <c r="P86" i="1" s="1"/>
  <c r="Q86" i="1" s="1"/>
  <c r="P85" i="1"/>
  <c r="Q85" i="1" s="1"/>
  <c r="P84" i="1"/>
  <c r="Q84" i="1" s="1"/>
  <c r="P83" i="1"/>
  <c r="Q83" i="1" s="1"/>
  <c r="P82" i="1"/>
  <c r="Q82" i="1" s="1"/>
  <c r="P81" i="1"/>
  <c r="Q81" i="1" s="1"/>
  <c r="P80" i="1"/>
  <c r="Q80" i="1" s="1"/>
  <c r="P79" i="1"/>
  <c r="Q79" i="1" s="1"/>
  <c r="P78" i="1"/>
  <c r="Q78" i="1" s="1"/>
  <c r="P77" i="1"/>
  <c r="Q77" i="1" s="1"/>
  <c r="P76" i="1"/>
  <c r="Q76" i="1" s="1"/>
  <c r="P75" i="1"/>
  <c r="Q75" i="1" s="1"/>
  <c r="P74" i="1"/>
  <c r="Q74" i="1" s="1"/>
  <c r="P73" i="1"/>
  <c r="Q73" i="1" s="1"/>
  <c r="P72" i="1"/>
  <c r="Q72" i="1" s="1"/>
  <c r="P71" i="1"/>
  <c r="Q71" i="1" s="1"/>
  <c r="P70" i="1"/>
  <c r="Q70" i="1" s="1"/>
  <c r="P69" i="1"/>
  <c r="Q69" i="1" s="1"/>
  <c r="P68" i="1"/>
  <c r="Q68" i="1" s="1"/>
  <c r="V67" i="1"/>
  <c r="M67" i="1"/>
  <c r="L67" i="1"/>
  <c r="P66" i="1"/>
  <c r="Q66" i="1" s="1"/>
  <c r="P65" i="1"/>
  <c r="Q65" i="1" s="1"/>
  <c r="V64" i="1"/>
  <c r="L64" i="1"/>
  <c r="P63" i="1"/>
  <c r="Q63" i="1" s="1"/>
  <c r="P62" i="1"/>
  <c r="Q62" i="1" s="1"/>
  <c r="P61" i="1"/>
  <c r="Q61" i="1" s="1"/>
  <c r="P60" i="1"/>
  <c r="Q60" i="1" s="1"/>
  <c r="P59" i="1"/>
  <c r="Q59" i="1" s="1"/>
  <c r="P58" i="1"/>
  <c r="Q58" i="1" s="1"/>
  <c r="P57" i="1"/>
  <c r="Q57" i="1" s="1"/>
  <c r="P56" i="1"/>
  <c r="Q56" i="1" s="1"/>
  <c r="P55" i="1"/>
  <c r="Q55" i="1" s="1"/>
  <c r="P54" i="1"/>
  <c r="Q54" i="1" s="1"/>
  <c r="P53" i="1"/>
  <c r="Q53" i="1" s="1"/>
  <c r="P52" i="1"/>
  <c r="Q52" i="1" s="1"/>
  <c r="P51" i="1"/>
  <c r="Q51" i="1" s="1"/>
  <c r="P50" i="1"/>
  <c r="Q50" i="1" s="1"/>
  <c r="P49" i="1"/>
  <c r="Q49" i="1" s="1"/>
  <c r="P48" i="1"/>
  <c r="Q48" i="1" s="1"/>
  <c r="P47" i="1"/>
  <c r="Q47" i="1" s="1"/>
  <c r="P46" i="1"/>
  <c r="Q46" i="1" s="1"/>
  <c r="P45" i="1"/>
  <c r="Q45" i="1" s="1"/>
  <c r="P44" i="1"/>
  <c r="Q44" i="1" s="1"/>
  <c r="P43" i="1"/>
  <c r="Q43" i="1" s="1"/>
  <c r="P42" i="1"/>
  <c r="Q42" i="1" s="1"/>
  <c r="P41" i="1"/>
  <c r="Q41" i="1" s="1"/>
  <c r="M40" i="1"/>
  <c r="P40" i="1" s="1"/>
  <c r="Q40" i="1" s="1"/>
  <c r="L39" i="1"/>
  <c r="P39" i="1" s="1"/>
  <c r="Q39" i="1" s="1"/>
  <c r="P38" i="1"/>
  <c r="Q38" i="1" s="1"/>
  <c r="P37" i="1"/>
  <c r="Q37" i="1" s="1"/>
  <c r="P36" i="1"/>
  <c r="Q36" i="1" s="1"/>
  <c r="P35" i="1"/>
  <c r="V34" i="1"/>
  <c r="M34" i="1"/>
  <c r="P33" i="1"/>
  <c r="P32" i="1"/>
  <c r="P31" i="1"/>
  <c r="P30" i="1"/>
  <c r="P29" i="1"/>
  <c r="P28" i="1"/>
  <c r="Q28" i="1" s="1"/>
  <c r="P27" i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Q21" i="1" s="1"/>
  <c r="P20" i="1"/>
  <c r="Q20" i="1" s="1"/>
  <c r="P19" i="1"/>
  <c r="Q19" i="1" s="1"/>
  <c r="P18" i="1"/>
  <c r="Q18" i="1" s="1"/>
  <c r="P17" i="1"/>
  <c r="Q17" i="1" s="1"/>
  <c r="P16" i="1"/>
  <c r="Q16" i="1" s="1"/>
  <c r="P15" i="1"/>
  <c r="Q15" i="1" s="1"/>
  <c r="P14" i="1"/>
  <c r="Q14" i="1" s="1"/>
  <c r="P13" i="1"/>
  <c r="Q13" i="1" s="1"/>
  <c r="P12" i="1"/>
  <c r="Q12" i="1" s="1"/>
  <c r="P11" i="1"/>
  <c r="Q11" i="1" s="1"/>
  <c r="P10" i="1"/>
  <c r="Q10" i="1" s="1"/>
  <c r="P9" i="1"/>
  <c r="Q9" i="1" s="1"/>
  <c r="P8" i="1"/>
  <c r="Q8" i="1" s="1"/>
  <c r="M7" i="1"/>
  <c r="P7" i="1" s="1"/>
  <c r="Q7" i="1" s="1"/>
  <c r="P6" i="1"/>
  <c r="Q6" i="1" s="1"/>
  <c r="P5" i="1"/>
  <c r="Q5" i="1" s="1"/>
  <c r="P4" i="1"/>
  <c r="Q4" i="1" s="1"/>
  <c r="P3" i="1"/>
  <c r="Q3" i="1" s="1"/>
  <c r="N26" i="4" l="1"/>
  <c r="O26" i="4" s="1"/>
  <c r="N27" i="4"/>
  <c r="O27" i="4" s="1"/>
  <c r="N28" i="4"/>
  <c r="O28" i="4" s="1"/>
  <c r="N29" i="4"/>
  <c r="O29" i="4" s="1"/>
  <c r="P67" i="1"/>
  <c r="Q67" i="1" s="1"/>
  <c r="P188" i="1"/>
  <c r="Q188" i="1" s="1"/>
  <c r="P280" i="1"/>
  <c r="Q280" i="1" s="1"/>
  <c r="P64" i="1"/>
  <c r="Q64" i="1" s="1"/>
  <c r="P202" i="1"/>
  <c r="Q202" i="1" s="1"/>
  <c r="S189" i="1"/>
  <c r="T189" i="1" s="1"/>
  <c r="P34" i="1"/>
  <c r="Q34" i="1" s="1"/>
  <c r="P282" i="1"/>
  <c r="Q282" i="1" s="1"/>
  <c r="N204" i="1"/>
  <c r="N203" i="1"/>
  <c r="B8" i="1" l="1"/>
  <c r="B9" i="1"/>
  <c r="B10" i="1"/>
  <c r="B11" i="1"/>
  <c r="B12" i="1"/>
  <c r="B13" i="1"/>
  <c r="B14" i="1"/>
  <c r="B15" i="1"/>
  <c r="B17" i="1"/>
  <c r="B19" i="1"/>
  <c r="B22" i="1"/>
  <c r="B23" i="1"/>
  <c r="B26" i="1"/>
  <c r="B29" i="1"/>
  <c r="B30" i="1"/>
  <c r="B31" i="1"/>
  <c r="B32" i="1"/>
  <c r="B33" i="1"/>
  <c r="B35" i="1"/>
  <c r="B36" i="1"/>
  <c r="B37" i="1"/>
  <c r="B41" i="1"/>
  <c r="B42" i="1"/>
  <c r="B43" i="1"/>
  <c r="B44" i="1"/>
  <c r="B48" i="1"/>
  <c r="B49" i="1"/>
  <c r="B50" i="1"/>
  <c r="B51" i="1"/>
  <c r="B52" i="1"/>
  <c r="B53" i="1"/>
  <c r="B56" i="1"/>
  <c r="B57" i="1"/>
  <c r="B58" i="1"/>
  <c r="B64" i="1"/>
  <c r="B65" i="1"/>
  <c r="B67" i="1"/>
  <c r="B68" i="1"/>
  <c r="B73" i="1"/>
  <c r="B74" i="1"/>
  <c r="B79" i="1"/>
  <c r="B81" i="1"/>
  <c r="B96" i="1"/>
  <c r="B23" i="2" l="1"/>
  <c r="B28" i="2"/>
  <c r="B27" i="2"/>
  <c r="B26" i="2"/>
  <c r="B25" i="2"/>
  <c r="B24" i="2"/>
  <c r="B22" i="2"/>
  <c r="B21" i="2"/>
  <c r="B20" i="2"/>
  <c r="B19" i="2"/>
  <c r="B18" i="2"/>
  <c r="B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Stucki</author>
  </authors>
  <commentList>
    <comment ref="G2" authorId="0" shapeId="0" xr:uid="{E18C9083-5F8A-42AC-A3C8-35025401E4D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falls nicht explizit angegeben: ganze Laibe, 1pc pro Karton</t>
        </r>
      </text>
    </comment>
    <comment ref="M4" authorId="0" shapeId="0" xr:uid="{A03E3813-5D26-4953-AB65-7DED13381E6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siehe Email Stefan and Robert vom 13.02.25 (EUR-Preis - fixe Rate??)
</t>
        </r>
      </text>
    </comment>
    <comment ref="M5" authorId="0" shapeId="0" xr:uid="{B20F5E4A-1CC2-4DC3-919D-9E2FE8F86DB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siehe Email Stefan and Robert vom 13.02.25 (EUR-Preis - fixe Rate??)</t>
        </r>
      </text>
    </comment>
    <comment ref="M34" authorId="0" shapeId="0" xr:uid="{48FCAFEF-77FF-46CD-A298-98EF2599084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EUR Preis fix für 2023 = 18.90 EUR/kg. SW fragen bzgl. neuem Preis bei nächster Bestellung</t>
        </r>
      </text>
    </comment>
    <comment ref="V34" authorId="0" shapeId="0" xr:uid="{14993C95-A640-46C8-9A09-F0C0024C501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Berechnet nach Lieferung</t>
        </r>
      </text>
    </comment>
    <comment ref="L60" authorId="0" shapeId="0" xr:uid="{CCAF1D87-9B16-4B03-AD4E-3C960FC64CFE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20.16 CHF</t>
        </r>
      </text>
    </comment>
    <comment ref="L61" authorId="0" shapeId="0" xr:uid="{B0B0DBA7-D6B6-4EB7-8B89-E437F5A9C78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(1.2kg) = 16.46 CHF</t>
        </r>
      </text>
    </comment>
    <comment ref="L62" authorId="0" shapeId="0" xr:uid="{463C9E22-20C1-450E-8C9C-B6BB116547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Michelle Stucki: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18.73</t>
        </r>
      </text>
    </comment>
    <comment ref="L63" authorId="0" shapeId="0" xr:uid="{D0BF48C6-EBDB-407E-953D-B115F6FF017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Imlig berechnet uns Preis pro Karton (1.2 kg) = 12.91 CHF</t>
        </r>
      </text>
    </comment>
    <comment ref="L64" authorId="0" shapeId="0" xr:uid="{83D8050E-B8F1-4399-90DB-86433CD74C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kg: CHF 17.85</t>
        </r>
      </text>
    </comment>
    <comment ref="M64" authorId="0" shapeId="0" xr:uid="{8F750BEE-4759-415F-B82A-8979DFF97C3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Preise gelten für Foodbroker direkt (NICHT Coop Norway!). Preis pro kg: 23.67 </t>
        </r>
      </text>
    </comment>
    <comment ref="M65" authorId="0" shapeId="0" xr:uid="{3062E892-DB3A-405E-A825-0C7CECF6344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M67" authorId="0" shapeId="0" xr:uid="{6461926B-73CD-4609-8511-F511A2527BD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Preise gelten für Foodbroker direkt (NICHT Coop Norway!). Preis pro kg: CHF 19.93</t>
        </r>
      </text>
    </comment>
    <comment ref="M68" authorId="0" shapeId="0" xr:uid="{3DA70530-7C9B-4FD3-9E2D-33C2097C5C1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Preise gelten für Foodbroker direkt (NICHT Coop Norway!)</t>
        </r>
      </text>
    </comment>
    <comment ref="L76" authorId="0" shapeId="0" xr:uid="{8A769561-004B-4522-A3BA-9B3A4E7DCD4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EP 16 CHF + 0.12 CHF Preis für Karton pro kg = 16.12 CHF/kg</t>
        </r>
      </text>
    </comment>
    <comment ref="L77" authorId="0" shapeId="0" xr:uid="{1BF5EC00-2218-4ACF-B9D7-AC4292947FA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18.15 CHF + 0.16 CHF Preis für Karton pro kg = 18.31 CHF/kg</t>
        </r>
      </text>
    </comment>
    <comment ref="L78" authorId="0" shapeId="0" xr:uid="{4DA42A8A-2615-4ADA-8CDE-EC8F6E0F3BF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Pro kg: 17.85 CHF
in letzter Rechnung 17.65 CHF/kg</t>
        </r>
      </text>
    </comment>
    <comment ref="G91" authorId="0" shapeId="0" xr:uid="{AE79009F-6FD3-4C35-AAC1-5A7972AB2AA6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nur möglich zu bestellen in 8/16/24/… Stücken</t>
        </r>
      </text>
    </comment>
    <comment ref="G92" authorId="0" shapeId="0" xr:uid="{3956B0EE-7973-4201-848D-F8C4C91C7827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MOQ = 10 Laib pro Bestellung</t>
        </r>
      </text>
    </comment>
    <comment ref="M96" authorId="0" shapeId="0" xr:uid="{9EEB87A1-DE13-486B-B4B6-BEBB76F45EA6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-&gt; SW fragen, welcher Preis abgemacht wurde</t>
        </r>
      </text>
    </comment>
    <comment ref="V96" authorId="0" shapeId="0" xr:uid="{D493C2BD-3EFB-4848-B0EE-5B4000BF846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Order 9</t>
        </r>
      </text>
    </comment>
    <comment ref="L107" authorId="0" shapeId="0" xr:uid="{FD8AEC95-B87C-4D0E-8842-3F3404D1ED4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pro Karton, 12 pcs (1.8 kg) = 27.804 CHF</t>
        </r>
      </text>
    </comment>
    <comment ref="L108" authorId="0" shapeId="0" xr:uid="{272A7F83-A269-4C77-8E9D-270FB47C323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22.32 CHF</t>
        </r>
      </text>
    </comment>
    <comment ref="L109" authorId="0" shapeId="0" xr:uid="{FAD2217D-5C4E-4922-9FF0-5D485971934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Karton, 12 pcs (1.8 kg) = 14.844 CHF</t>
        </r>
      </text>
    </comment>
    <comment ref="M122" authorId="0" shapeId="0" xr:uid="{242BEC5E-0C74-4086-8F08-9DEC31CF0F2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Beutel</t>
        </r>
      </text>
    </comment>
    <comment ref="L135" authorId="0" shapeId="0" xr:uid="{615D8A89-0DF8-40B4-85E3-94AFAF78258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für Wheel in case</t>
        </r>
      </text>
    </comment>
    <comment ref="M140" authorId="0" shapeId="0" xr:uid="{C924F584-C7EC-4AB4-BF47-AB3B468F5B3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neuer Bestellung Preis erhöhen!</t>
        </r>
      </text>
    </comment>
    <comment ref="V142" authorId="0" shapeId="0" xr:uid="{FB7BC1C8-03C0-46C7-96F5-71A2A4F9074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Transportpreis (für 1 Pallet mit ca. 550 kg)</t>
        </r>
      </text>
    </comment>
    <comment ref="L159" authorId="0" shapeId="0" xr:uid="{DF81BA9A-2CCA-410E-92CC-97A1CC481AF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Mit Schachtel: +0.1 CHF (14.60 CHF + 0.1 CHF)</t>
        </r>
      </text>
    </comment>
    <comment ref="L166" authorId="0" shapeId="0" xr:uid="{7ACBE239-9D64-4E55-9764-8007C68BD853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neuer EP nicht auf Liste von Hinder, bei Bestellung nochmals nachfragen</t>
        </r>
      </text>
    </comment>
    <comment ref="L168" authorId="0" shapeId="0" xr:uid="{B03912B1-60CD-4A36-A4DC-EB6A0999BBD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13.00CHF/kg bei vollen Paletten</t>
        </r>
      </text>
    </comment>
    <comment ref="V168" authorId="0" shapeId="0" xr:uid="{858408E0-D365-4ECB-B327-2027B784AE7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Reporting: Transport pro Lieferung jeweils neu berechnen</t>
        </r>
      </text>
    </comment>
    <comment ref="L182" authorId="0" shapeId="0" xr:uid="{033DDD37-CDD1-42E3-B838-C1A001C702C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13.68 CHF.</t>
        </r>
      </text>
    </comment>
    <comment ref="U182" authorId="0" shapeId="0" xr:uid="{30011F6A-39AC-474F-8E57-BF4C039DD5A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Für 1. Lieferung. Weitere Lieferungen evlt nach Frankreich</t>
        </r>
      </text>
    </comment>
    <comment ref="V182" authorId="0" shapeId="0" xr:uid="{B4B9D1A2-7F86-48FA-B7B1-044CAFF99DF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Transportkosten sehr stark abhängig von Anzahl Paletten</t>
        </r>
      </text>
    </comment>
    <comment ref="L183" authorId="0" shapeId="0" xr:uid="{3A00BFDC-14E4-4454-B792-5FFD24625B8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9.585 CHF.</t>
        </r>
      </text>
    </comment>
    <comment ref="L184" authorId="0" shapeId="0" xr:uid="{F9E6ABB7-B982-4010-B3CD-B484838CA98C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Karton (0.9kg) = 9.892 CHF.</t>
        </r>
      </text>
    </comment>
    <comment ref="L188" authorId="0" shapeId="0" xr:uid="{40136F91-3DE1-441C-AC31-13F983299F3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ohne Karton: 11.40 CHF/kg</t>
        </r>
      </text>
    </comment>
    <comment ref="L197" authorId="0" shapeId="0" xr:uid="{93A2E391-3D1E-4316-8511-C5A6E26D48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Neuer EP!</t>
        </r>
      </text>
    </comment>
    <comment ref="M197" authorId="0" shapeId="0" xr:uid="{B50797FE-2902-488E-BD33-9CCE09BABA6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3.35 /kg</t>
        </r>
      </text>
    </comment>
    <comment ref="L198" authorId="0" shapeId="0" xr:uid="{B4389BD2-7357-4604-A436-83C32B61220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Labelkosten: 0.2CHF/kg</t>
        </r>
      </text>
    </comment>
    <comment ref="M198" authorId="0" shapeId="0" xr:uid="{AB1A3A17-FF7F-4E9B-AA0D-317C857CB858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Preis pro Portion : CHF 3.70 /kg</t>
        </r>
      </text>
    </comment>
    <comment ref="L212" authorId="0" shapeId="0" xr:uid="{550C64C2-68BE-42FE-B506-425834805832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17.80 CHF/kg. Durchschnittspreis mit Karton + 0.3 CHF/kg</t>
        </r>
      </text>
    </comment>
    <comment ref="L213" authorId="0" shapeId="0" xr:uid="{9C36E5E3-5A58-4086-A617-A2AFA95A8830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Ohne Karton EP = 13.70 CHF/kg. Durchschnittspreis mit Karton + 0.15 CHF/kg</t>
        </r>
      </text>
    </comment>
    <comment ref="G227" authorId="0" shapeId="0" xr:uid="{1E9C63B6-4072-458C-B906-E309AAC552C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Günti auch Tête de Moine Classic (mild) hinterlegt -&gt; </t>
        </r>
      </text>
    </comment>
    <comment ref="L230" authorId="0" shapeId="0" xr:uid="{15C5BD4C-488E-466D-9D3D-0BFD3DA5309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18.07 CHF</t>
        </r>
      </text>
    </comment>
    <comment ref="L231" authorId="0" shapeId="0" xr:uid="{EAF1BCA9-BD40-4C7A-BCDC-5A4DE96D5A3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25.37 CHF</t>
        </r>
      </text>
    </comment>
    <comment ref="L232" authorId="0" shapeId="0" xr:uid="{B693DE22-AF4F-457C-87F6-82F80A4264C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Imlig pro Karton (1.5kg): 21.29 CHF</t>
        </r>
      </text>
    </comment>
    <comment ref="L233" authorId="0" shapeId="0" xr:uid="{10BB4105-8CAA-481D-829F-B06BF021FBDB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Preis Imlig pro Karton (1.5kg): 23.53 CHF</t>
        </r>
      </text>
    </comment>
    <comment ref="L234" authorId="0" shapeId="0" xr:uid="{CFDABE3C-682C-43DF-BD3E-05012309F7A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15.55 chf/kg, in Order Nr 24 CHF 14.85 CHF/kg</t>
        </r>
      </text>
    </comment>
    <comment ref="G237" authorId="0" shapeId="0" xr:uid="{7876C60E-2C0D-4FFA-BAB1-6615559C8A1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vorher: Trüffelperle. Müsste Kunden informieren, wenn er erneut bestellt, dass Label angepasst wird</t>
        </r>
      </text>
    </comment>
    <comment ref="V240" authorId="0" shapeId="0" xr:uid="{0B308336-472E-4F98-8EA2-FC22D2CE45E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Nach Order 2 nochmals berechnen</t>
        </r>
      </text>
    </comment>
    <comment ref="L253" authorId="0" shapeId="0" xr:uid="{ECD80DC5-8E02-450D-8B75-7D3D5FE3392A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EP &lt;1Palette = 13.55 CHF/kg
</t>
        </r>
        <r>
          <rPr>
            <sz val="9"/>
            <color rgb="FF000000"/>
            <rFont val="Segoe UI"/>
            <family val="2"/>
            <charset val="1"/>
          </rPr>
          <t>EP &gt;1Palette = 12.90 CHF/kg</t>
        </r>
      </text>
    </comment>
    <comment ref="M253" authorId="0" shapeId="0" xr:uid="{6BDD9A2E-3399-4066-98FB-389CF0222E4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VP &lt;1Palette = 15.75 CHF/kg
VP &gt;1Palette = 14.35 CHF/kg</t>
        </r>
      </text>
    </comment>
    <comment ref="V265" authorId="0" shapeId="0" xr:uid="{918E3BF9-B464-4E3C-B116-3C06CCDA047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Annahme: ca. 400 kg/Palette</t>
        </r>
      </text>
    </comment>
    <comment ref="L277" authorId="0" shapeId="0" xr:uid="{6070E596-2007-478A-B357-2D44BC18DF8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14.20 / kg ohne Karton (mit Karton + 0.2 CHF/kg)</t>
        </r>
      </text>
    </comment>
    <comment ref="L278" authorId="0" shapeId="0" xr:uid="{09C10899-8D99-4A39-9B70-8C1EB55A4DB8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in Karton: +0.2 CHF/kg</t>
        </r>
      </text>
    </comment>
    <comment ref="M293" authorId="0" shapeId="0" xr:uid="{F293CD52-3485-44A4-85B2-B1E4A93FD88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10.19</t>
        </r>
      </text>
    </comment>
    <comment ref="M294" authorId="0" shapeId="0" xr:uid="{4F23AD9C-2EAA-4CC6-BCE1-4F2515F4FE2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CHF 10.19</t>
        </r>
      </text>
    </comment>
    <comment ref="M295" authorId="0" shapeId="0" xr:uid="{23975A1F-AC70-49E6-BB6E-BF9AEA65771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gilt für DDP NL</t>
        </r>
      </text>
    </comment>
    <comment ref="V313" authorId="0" shapeId="0" xr:uid="{5CACE937-3DCD-4E4F-9675-180567DB23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Kommission für Suomi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Stucki</author>
  </authors>
  <commentList>
    <comment ref="G2" authorId="0" shapeId="0" xr:uid="{92708CBE-E18E-42A9-86D3-8B9F0941CBDF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falls nicht explizit angegeben: ganze Laibe, 1pc pro Karton</t>
        </r>
      </text>
    </comment>
    <comment ref="M3" authorId="0" shapeId="0" xr:uid="{46BD4439-B13B-4508-81E8-07BAADE6E6D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bei jeder Bestellung vorab abklären</t>
        </r>
      </text>
    </comment>
    <comment ref="K9" authorId="0" shapeId="0" xr:uid="{CC634460-E14C-4FA0-A3C2-5A23F195A83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Kosten für Wheel Label mit 0.08 CHF/kg miteinberechnet</t>
        </r>
      </text>
    </comment>
    <comment ref="J21" authorId="0" shapeId="0" xr:uid="{FFEC54C1-98CB-4E72-8CC3-654396DFA0DA}">
      <text>
        <r>
          <rPr>
            <sz val="11"/>
            <color rgb="FF000000"/>
            <rFont val="Calibri"/>
            <family val="2"/>
          </rPr>
          <t xml:space="preserve">Michelle Stucki:
</t>
        </r>
        <r>
          <rPr>
            <sz val="11"/>
            <color rgb="FF000000"/>
            <rFont val="Calibri"/>
            <family val="2"/>
          </rPr>
          <t>Wäre offizieller EP, auf der ersten RE von Hardegger berechnen sie uns 3.966 CHF/Stück</t>
        </r>
      </text>
    </comment>
    <comment ref="K21" authorId="0" shapeId="0" xr:uid="{BC185004-1733-4DE0-BD4D-1E2CB5754B35}">
      <text>
        <r>
          <rPr>
            <sz val="11"/>
            <color rgb="FF000000"/>
            <rFont val="Calibri"/>
            <family val="2"/>
          </rPr>
          <t>Michelle Stucki:
Spezialpreis für erste Lieferungen: CHF 4.40/Stück (Stefan muss mit Victoria noch nachverhandeln!)</t>
        </r>
      </text>
    </comment>
    <comment ref="J22" authorId="0" shapeId="0" xr:uid="{6DA2638A-2ACC-4491-AF7F-E8964C9494B4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13.32 CHF/kg
+ Labelkosten RSC ca. 0.06 CHF/kg</t>
        </r>
      </text>
    </comment>
    <comment ref="J23" authorId="0" shapeId="0" xr:uid="{5CCBEF20-09AF-481F-9077-81AE5103CE5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12.60 CHF/kg
+ Labelkosten RSC ca. 0.06 CHF/kg</t>
        </r>
      </text>
    </comment>
    <comment ref="J24" authorId="0" shapeId="0" xr:uid="{99470B7D-D2D4-464E-B00D-A40DFE8E9281}">
      <text>
        <r>
          <rPr>
            <b/>
            <sz val="9"/>
            <color rgb="FF000000"/>
            <rFont val="Segoe UI"/>
            <family val="2"/>
            <charset val="1"/>
          </rPr>
          <t>Michelle Stucki: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 xml:space="preserve">Preis HD: 16.00 CHF/kg
</t>
        </r>
        <r>
          <rPr>
            <sz val="9"/>
            <color rgb="FF000000"/>
            <rFont val="Segoe UI"/>
            <family val="2"/>
            <charset val="1"/>
          </rPr>
          <t>+ Labelkosten RSC ca. 0.06 CHF/kg</t>
        </r>
      </text>
    </comment>
    <comment ref="J25" authorId="0" shapeId="0" xr:uid="{1FAE66FE-7638-4CCE-8D91-25CA911FE197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17.45 CHF/kg
+ Labelkosten RSC ca. 0.05 CHF/kg</t>
        </r>
      </text>
    </comment>
    <comment ref="J26" authorId="0" shapeId="0" xr:uid="{F6B0DF8A-B95E-498A-AB51-0C99DD9F0A1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13.60 CHF/kg
+ Labelkosten RSC ca. 0.06 CHF/kg</t>
        </r>
      </text>
    </comment>
    <comment ref="J27" authorId="0" shapeId="0" xr:uid="{490F4103-8D77-4C96-B6C1-6B650FBB3BC5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12.88 CHF/kg
+ Labelkosten RSC ca. 0.06 CHF/kg</t>
        </r>
      </text>
    </comment>
    <comment ref="J28" authorId="0" shapeId="0" xr:uid="{7AB6F374-A26C-489A-8F3F-1260BC9B2DD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16.28CHF/kg
+ Labelkosten RSC ca. 0.05 CHF/kg</t>
        </r>
      </text>
    </comment>
    <comment ref="J29" authorId="0" shapeId="0" xr:uid="{8657D15C-DD05-4624-8030-DD079FE1FE62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17.73 CHF/kg
+ Labelkosten RSC ca. 0.05 CHF/kg</t>
        </r>
      </text>
    </comment>
    <comment ref="J30" authorId="0" shapeId="0" xr:uid="{E2009760-8EF3-4BD4-97F3-12051069E5A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13.37 CHF/kg
+ Labelkosten RSC ca. 0.06 CHF/kg</t>
        </r>
      </text>
    </comment>
    <comment ref="J31" authorId="0" shapeId="0" xr:uid="{AF81F2B8-67F2-4CEB-B8FE-4B5AF5D3420F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11.82 CHF/kg
+ Labelkosten RSC ca. 0.06 CHF/kg</t>
        </r>
      </text>
    </comment>
    <comment ref="J32" authorId="0" shapeId="0" xr:uid="{3F5B9556-E74E-4124-A424-289BA6E2E53C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12.02 CHF/kg
+ Labelkosten RSC ca. 0.06 CHF/kg</t>
        </r>
      </text>
    </comment>
    <comment ref="J33" authorId="0" shapeId="0" xr:uid="{DB5B5372-C8A0-4049-9D9E-BB622637A10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HD: 14.08 CHF/kg
+ Labelkosten RSC ca. 0.06 CHF/kg</t>
        </r>
      </text>
    </comment>
    <comment ref="J34" authorId="0" shapeId="0" xr:uid="{4A8A0C34-296C-4F7D-A0FD-257D04EF458A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Strähl CHF 6.49 /kg. Labelkosten betragen ca. 0.09 CHF/kg (bezahlt durch RSC)</t>
        </r>
      </text>
    </comment>
    <comment ref="J37" authorId="0" shapeId="0" xr:uid="{0029A882-29CF-43BA-8BFB-718422C76A1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K37" authorId="0" shapeId="0" xr:uid="{B8BE61C9-15D4-41A4-84F0-4C91E4C4EA13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J38" authorId="0" shapeId="0" xr:uid="{B1718481-52D1-44A6-B7B8-D1E0E9B8035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K38" authorId="0" shapeId="0" xr:uid="{521BC322-7F33-4DEF-820F-7A2A750E90C9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J39" authorId="0" shapeId="0" xr:uid="{8D7432A2-70E8-43D9-AEC6-ED6CC465563B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Stück CHF 13.50 / pc</t>
        </r>
      </text>
    </comment>
    <comment ref="K39" authorId="0" shapeId="0" xr:uid="{1A8C3176-735D-4BA7-8338-06CC1B11CA0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Preis pro kg?</t>
        </r>
      </text>
    </comment>
    <comment ref="J41" authorId="0" shapeId="0" xr:uid="{62DAAFDE-491A-40ED-9A85-3DFA854F31D0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offeriert waren CHF 11.89/kg?</t>
        </r>
      </text>
    </comment>
    <comment ref="K46" authorId="0" shapeId="0" xr:uid="{2D6CB2D8-47DE-4209-A6C7-03F6DE0883A1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Achtung - Eur Fixpreis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Stucki</author>
  </authors>
  <commentList>
    <comment ref="I22" authorId="0" shapeId="0" xr:uid="{B526CB29-4106-4750-8A87-B8872DB40C0E}">
      <text>
        <r>
          <rPr>
            <b/>
            <sz val="9"/>
            <color indexed="81"/>
            <rFont val="Segoe UI"/>
            <family val="2"/>
          </rPr>
          <t>Michelle Stucki:</t>
        </r>
        <r>
          <rPr>
            <sz val="9"/>
            <color indexed="81"/>
            <rFont val="Segoe UI"/>
            <family val="2"/>
          </rPr>
          <t xml:space="preserve">
EP wäre eigentlich 9.70 CHF/Kg (da ca. 0.05 CHF/kg Labelpreis noch zusätzlich anfallen)</t>
        </r>
      </text>
    </comment>
  </commentList>
</comments>
</file>

<file path=xl/sharedStrings.xml><?xml version="1.0" encoding="utf-8"?>
<sst xmlns="http://schemas.openxmlformats.org/spreadsheetml/2006/main" count="2985" uniqueCount="853">
  <si>
    <t>Produktcode</t>
  </si>
  <si>
    <t>Nr. Käserei</t>
  </si>
  <si>
    <t>Käserei</t>
  </si>
  <si>
    <t>Kunden_Nr</t>
  </si>
  <si>
    <t>Kunde_Name</t>
  </si>
  <si>
    <t>Land</t>
  </si>
  <si>
    <t>Produktname</t>
  </si>
  <si>
    <t>Verpackungsinfos</t>
  </si>
  <si>
    <t>Preiser-höhung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</si>
  <si>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</t>
    </r>
  </si>
  <si>
    <r>
      <t xml:space="preserve">VP </t>
    </r>
    <r>
      <rPr>
        <b/>
        <sz val="9"/>
        <color indexed="8"/>
        <rFont val="Sans"/>
      </rPr>
      <t>(CHF)</t>
    </r>
    <r>
      <rPr>
        <b/>
        <sz val="10"/>
        <color indexed="8"/>
        <rFont val="Sans"/>
      </rPr>
      <t xml:space="preserve"> / kg</t>
    </r>
  </si>
  <si>
    <t xml:space="preserve">VP Currency </t>
  </si>
  <si>
    <t>Marge</t>
  </si>
  <si>
    <t>Merge %</t>
  </si>
  <si>
    <t>Incoterms</t>
  </si>
  <si>
    <t>Transport</t>
  </si>
  <si>
    <t>Subvention SO</t>
  </si>
  <si>
    <t>Kommentar</t>
  </si>
  <si>
    <t>Hilfsspalte für Kursumrechnung 
in andere Währung</t>
  </si>
  <si>
    <t>50GB58Wd1002</t>
  </si>
  <si>
    <t>Imlig Käserei Oberriet AG</t>
  </si>
  <si>
    <t>Squiby Foods BV</t>
  </si>
  <si>
    <t>NL</t>
  </si>
  <si>
    <r>
      <t xml:space="preserve">Grünberger 1/8 Wedge, </t>
    </r>
    <r>
      <rPr>
        <sz val="9"/>
        <color theme="1"/>
        <rFont val="Calibri"/>
        <family val="2"/>
        <scheme val="minor"/>
      </rPr>
      <t>2pcs/case</t>
    </r>
  </si>
  <si>
    <t>Produzent: Neuenschwander</t>
  </si>
  <si>
    <t>EUR /Tageskurs</t>
  </si>
  <si>
    <t>DDP</t>
  </si>
  <si>
    <t>EXW</t>
  </si>
  <si>
    <t>Squiby organisiert Transport selbst</t>
  </si>
  <si>
    <t>80GY6AOPKc1002</t>
  </si>
  <si>
    <t>Margot Fromages SA</t>
  </si>
  <si>
    <r>
      <t xml:space="preserve">Gruyère AOP 6M King Cuts, </t>
    </r>
    <r>
      <rPr>
        <sz val="9"/>
        <color theme="1"/>
        <rFont val="Calibri"/>
        <family val="2"/>
        <scheme val="minor"/>
      </rPr>
      <t>2 pcs/case</t>
    </r>
  </si>
  <si>
    <t>Artikel derzeit inaktiv; Achtung VP anpassen bei erneuter Bestellung</t>
  </si>
  <si>
    <t>50EM4AOPKc1002</t>
  </si>
  <si>
    <r>
      <t xml:space="preserve">Emmentaler AOP King Cuts, </t>
    </r>
    <r>
      <rPr>
        <sz val="9"/>
        <color theme="1"/>
        <rFont val="Calibri"/>
        <family val="2"/>
        <scheme val="minor"/>
      </rPr>
      <t>2pcs/case,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mit mikrobiellem Lab bestellen</t>
    </r>
  </si>
  <si>
    <t>120APSLWh1003</t>
  </si>
  <si>
    <t>Traber Käse AG</t>
  </si>
  <si>
    <t>1003</t>
  </si>
  <si>
    <t>Intercibus</t>
  </si>
  <si>
    <t>USA</t>
  </si>
  <si>
    <t>Appenzeller Silver Label Wheel</t>
  </si>
  <si>
    <t>CHF</t>
  </si>
  <si>
    <t>FOB</t>
  </si>
  <si>
    <t>Wir organisieren Container für Kunden</t>
  </si>
  <si>
    <t>120APWLWh1003</t>
  </si>
  <si>
    <t>Appenzeller White Label Wheel</t>
  </si>
  <si>
    <t>50APSL150PrF1003</t>
  </si>
  <si>
    <t>Appenzeller Silver Label 150g Portion</t>
  </si>
  <si>
    <t>Artikel derzeit inaktiv</t>
  </si>
  <si>
    <t>80GY12AOP4Wd1003</t>
  </si>
  <si>
    <t>Gruyère AOP 12M 1/4 Wedge</t>
  </si>
  <si>
    <t>Preisreduktion vorerst zeitlich unbegrenzt</t>
  </si>
  <si>
    <t>80GY12AOPWh1003</t>
  </si>
  <si>
    <t>Gruyère AOP 12M Wheel</t>
  </si>
  <si>
    <t>80GY6AOP4Wd1003</t>
  </si>
  <si>
    <t>Gruyère AOP mild 1/4 Wedge</t>
  </si>
  <si>
    <t>80GY6AOPKc1003</t>
  </si>
  <si>
    <r>
      <t xml:space="preserve">Gruyère AOP mild King Cut (ohne Rinde), </t>
    </r>
    <r>
      <rPr>
        <sz val="9"/>
        <color theme="1"/>
        <rFont val="Calibri"/>
        <family val="2"/>
        <scheme val="minor"/>
      </rPr>
      <t>2pcs/case</t>
    </r>
  </si>
  <si>
    <t>80GY6AOPWh1003</t>
  </si>
  <si>
    <t>Gruyère AOP mild Wheel</t>
  </si>
  <si>
    <t>50MMRSq1003</t>
  </si>
  <si>
    <t>Mountain Milk Raclette Square</t>
  </si>
  <si>
    <t>50MMRWh1003</t>
  </si>
  <si>
    <t>Mountain Milk Raclette Wheel (vakuumiert)</t>
  </si>
  <si>
    <t>190MMRWh1003</t>
  </si>
  <si>
    <t>Käserei Hardegger AG</t>
  </si>
  <si>
    <t>20RDWh1003</t>
  </si>
  <si>
    <t>Güntensperger Käse AG</t>
  </si>
  <si>
    <t>Red Devil</t>
  </si>
  <si>
    <t>mit Laibetikette, Foodplast, Karton</t>
  </si>
  <si>
    <t>80SB8Wd1003</t>
  </si>
  <si>
    <t>Sbrinz AOP 1/8 Wedge</t>
  </si>
  <si>
    <t>20SLWh1003</t>
  </si>
  <si>
    <t>Swiss Lady</t>
  </si>
  <si>
    <t>10SSSc1003</t>
  </si>
  <si>
    <t>Alpenswiss AG</t>
  </si>
  <si>
    <r>
      <t>Switzerland Swiss Super Cuts,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2pcs/case</t>
    </r>
  </si>
  <si>
    <t>10EM4Cc1003</t>
  </si>
  <si>
    <r>
      <t xml:space="preserve">Emmentaler AOP Center Cuts, </t>
    </r>
    <r>
      <rPr>
        <sz val="9"/>
        <color theme="1"/>
        <rFont val="Calibri"/>
        <family val="2"/>
        <scheme val="minor"/>
      </rPr>
      <t>2pcs/case</t>
    </r>
  </si>
  <si>
    <t>110TdMWh1003</t>
  </si>
  <si>
    <t>Fromages Spielhofer S.A.</t>
  </si>
  <si>
    <r>
      <t>Tête de Moine,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4pcs/case</t>
    </r>
  </si>
  <si>
    <t>20TSWh1003</t>
  </si>
  <si>
    <t>Thunderstorm</t>
  </si>
  <si>
    <t>80TLRWh1003</t>
  </si>
  <si>
    <t>Tilsiter red</t>
  </si>
  <si>
    <t>80TLGWh1003</t>
  </si>
  <si>
    <t>Tilsiter green</t>
  </si>
  <si>
    <t>80VFAWh1003</t>
  </si>
  <si>
    <t>Vacherin Fribourgeois AOP</t>
  </si>
  <si>
    <t>20TPWh1003</t>
  </si>
  <si>
    <t>Trüffelperle</t>
  </si>
  <si>
    <t>mit Laibetikette, Karton</t>
  </si>
  <si>
    <t>20BSCrWh1003</t>
  </si>
  <si>
    <r>
      <t xml:space="preserve">La Charmant </t>
    </r>
    <r>
      <rPr>
        <sz val="9"/>
        <color theme="1"/>
        <rFont val="Calibri"/>
        <family val="2"/>
        <scheme val="minor"/>
      </rPr>
      <t>(intern: Bergsteiger Creamy)</t>
    </r>
  </si>
  <si>
    <t>mit Laibetikette, Karton, mit Stickers</t>
  </si>
  <si>
    <t>150FdCl4001005</t>
  </si>
  <si>
    <t>Strähl Käse AG</t>
  </si>
  <si>
    <t>1005</t>
  </si>
  <si>
    <t>Daily Dairy</t>
  </si>
  <si>
    <t>Fondue Classic 400g</t>
  </si>
  <si>
    <t>?</t>
  </si>
  <si>
    <t>150FdMh4001005</t>
  </si>
  <si>
    <t>Fondue Matterhorn 400g</t>
  </si>
  <si>
    <t>80GY6AOPKc1005</t>
  </si>
  <si>
    <t>Gruyère AOP King Cut</t>
  </si>
  <si>
    <t>80GY6AOPWd1005</t>
  </si>
  <si>
    <t>Gruyère AOP Mild 2 Kg Block</t>
  </si>
  <si>
    <t>80GY6AOPWh1005</t>
  </si>
  <si>
    <t>110TdMWh1005</t>
  </si>
  <si>
    <t>Tête de Moine AOP Wheel Classic</t>
  </si>
  <si>
    <t>EUR</t>
  </si>
  <si>
    <t>100EM4Wh1005</t>
  </si>
  <si>
    <t>Käserei Neuenschwander AG</t>
  </si>
  <si>
    <t>Emmentaler AOP Wheel</t>
  </si>
  <si>
    <t>120APBLWh1006</t>
  </si>
  <si>
    <t>1006</t>
  </si>
  <si>
    <t>Hugo Ericson</t>
  </si>
  <si>
    <t>Sweden</t>
  </si>
  <si>
    <r>
      <t>Appenzeller Black Label (Extra-Würzig)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*VP nur verwenden bei vollen Paletten</t>
    </r>
  </si>
  <si>
    <t>SEK / Tageskurs</t>
  </si>
  <si>
    <t>20APBLWh1006</t>
  </si>
  <si>
    <t>Appenzeller Black Label (Extra-Würzig)</t>
  </si>
  <si>
    <t>120APPLWh1006</t>
  </si>
  <si>
    <t>Appenzeller Purple Label (Edel-Würzig)</t>
  </si>
  <si>
    <t>20APPLWh1006</t>
  </si>
  <si>
    <t>20</t>
  </si>
  <si>
    <t>80ETAOPAlp4Wd1006</t>
  </si>
  <si>
    <r>
      <t xml:space="preserve">Etivaz AOP Alpage 1/4 Wedge, </t>
    </r>
    <r>
      <rPr>
        <sz val="9"/>
        <color theme="1"/>
        <rFont val="Calibri"/>
        <family val="2"/>
        <scheme val="minor"/>
      </rPr>
      <t>4pcs/case, MOQ = 4/8/12/16 pcs ect.</t>
    </r>
  </si>
  <si>
    <t>40GY16554Wd1006</t>
  </si>
  <si>
    <t>Fromage Gruyère SA</t>
  </si>
  <si>
    <r>
      <t xml:space="preserve">Gruyère 1655 1/4 Wedge (15M), </t>
    </r>
    <r>
      <rPr>
        <sz val="9"/>
        <color theme="1"/>
        <rFont val="Calibri"/>
        <family val="2"/>
        <scheme val="minor"/>
      </rPr>
      <t>4pcs/case</t>
    </r>
  </si>
  <si>
    <t>40GY1655Wh1006</t>
  </si>
  <si>
    <t>Gruyère 1655 Wheel (15M)</t>
  </si>
  <si>
    <t>80GY10AOPR4Wd1006</t>
  </si>
  <si>
    <r>
      <t xml:space="preserve">Gruyère AOP Réserve 1/4 Wedge (10M) </t>
    </r>
    <r>
      <rPr>
        <sz val="9"/>
        <color theme="1"/>
        <rFont val="Calibri"/>
        <family val="2"/>
        <scheme val="minor"/>
      </rPr>
      <t>4pcs/case</t>
    </r>
  </si>
  <si>
    <t>80GY10AOPRKc1006</t>
  </si>
  <si>
    <r>
      <t xml:space="preserve">Gruyère AOP Réserve King Cuts (10M), </t>
    </r>
    <r>
      <rPr>
        <sz val="9"/>
        <color theme="1"/>
        <rFont val="Calibri"/>
        <family val="2"/>
        <scheme val="minor"/>
      </rPr>
      <t>5pcs/case</t>
    </r>
  </si>
  <si>
    <t>80GY10AOPRWh1006</t>
  </si>
  <si>
    <r>
      <t xml:space="preserve">Gruyère AOP Réserve Wheel (10M), </t>
    </r>
    <r>
      <rPr>
        <sz val="9"/>
        <color theme="1"/>
        <rFont val="Calibri"/>
        <family val="2"/>
        <scheme val="minor"/>
      </rPr>
      <t>ohne case bestellen</t>
    </r>
  </si>
  <si>
    <t>80GYAOPAlpWh1006</t>
  </si>
  <si>
    <t>Gruyère AOP Alpage Wheel</t>
  </si>
  <si>
    <t>80GYAOPAlp4Wd1006</t>
  </si>
  <si>
    <r>
      <t xml:space="preserve">Gruyère AOP Alpage 1/4 Wedge </t>
    </r>
    <r>
      <rPr>
        <sz val="9"/>
        <color theme="1"/>
        <rFont val="Calibri"/>
        <family val="2"/>
        <scheme val="minor"/>
      </rPr>
      <t>4pcs/case</t>
    </r>
  </si>
  <si>
    <t>50MMRClSq1006</t>
  </si>
  <si>
    <t>Raclette classic</t>
  </si>
  <si>
    <t>50MMRGSq1006</t>
  </si>
  <si>
    <t>Raclette garlic</t>
  </si>
  <si>
    <t>Achtung, oft nicht verfügbar. Auf LS prüfen</t>
  </si>
  <si>
    <t>50MMRPSq1006</t>
  </si>
  <si>
    <t>Raclette pepper</t>
  </si>
  <si>
    <t>50MMRTSq1006</t>
  </si>
  <si>
    <t>Raclette truffle</t>
  </si>
  <si>
    <t>20TSWh1006</t>
  </si>
  <si>
    <t>20SWWh1006</t>
  </si>
  <si>
    <t>Schweizer Wanderer</t>
  </si>
  <si>
    <t>50AW54Wd1006</t>
  </si>
  <si>
    <t>Alpenwunder 5M 1/4 Wedge</t>
  </si>
  <si>
    <t>50AW104Wd1006</t>
  </si>
  <si>
    <t>Alpenwunder 10M 1/4 Wedge</t>
  </si>
  <si>
    <t>20BSCrWh1006</t>
  </si>
  <si>
    <t>Bergsteiger Creamy</t>
  </si>
  <si>
    <t>20BLKWh1006</t>
  </si>
  <si>
    <t>Bärlauchkäse</t>
  </si>
  <si>
    <t>20ZKWh1006</t>
  </si>
  <si>
    <t>Zirbenkönigin (Stone Pine Queen)</t>
  </si>
  <si>
    <t>20RBKWh1006</t>
  </si>
  <si>
    <t>Rosenblütenkäse (Cheeky lover)</t>
  </si>
  <si>
    <t>vakuumiert</t>
  </si>
  <si>
    <t>50APBL150PrF1006</t>
  </si>
  <si>
    <r>
      <t xml:space="preserve">Appenzeller Black Label 150g Portion Fix, </t>
    </r>
    <r>
      <rPr>
        <sz val="9"/>
        <color theme="1"/>
        <rFont val="Calibri"/>
        <family val="2"/>
        <scheme val="minor"/>
      </rPr>
      <t>8pcs/case</t>
    </r>
  </si>
  <si>
    <t>50BSCr150PrF1006</t>
  </si>
  <si>
    <r>
      <t>Bergsteiger Creamy 150g Portion Fix,</t>
    </r>
    <r>
      <rPr>
        <sz val="9"/>
        <color theme="1"/>
        <rFont val="Calibri"/>
        <family val="2"/>
        <scheme val="minor"/>
      </rPr>
      <t xml:space="preserve"> 8pcs/case</t>
    </r>
  </si>
  <si>
    <t>50GY6AOP150PrF1006</t>
  </si>
  <si>
    <r>
      <t xml:space="preserve">Gruyère AOP Mild 150g Portion Fix, </t>
    </r>
    <r>
      <rPr>
        <sz val="9"/>
        <color theme="1"/>
        <rFont val="Calibri"/>
        <family val="2"/>
        <scheme val="minor"/>
      </rPr>
      <t>8pcs/case</t>
    </r>
  </si>
  <si>
    <t>50AW5150PrF1006</t>
  </si>
  <si>
    <r>
      <t>Alpenwunder 5M 150g Portion Fix,</t>
    </r>
    <r>
      <rPr>
        <sz val="9"/>
        <color theme="1"/>
        <rFont val="Calibri"/>
        <family val="2"/>
        <scheme val="minor"/>
      </rPr>
      <t xml:space="preserve"> 8pcs/case</t>
    </r>
  </si>
  <si>
    <t>80GY12AOPCA150PrF1007</t>
  </si>
  <si>
    <t>Foodbroker</t>
  </si>
  <si>
    <t>Norway</t>
  </si>
  <si>
    <r>
      <t xml:space="preserve">Gruyère AOP 12 Months CAVE AGED 150 Portion, </t>
    </r>
    <r>
      <rPr>
        <sz val="9"/>
        <color theme="1"/>
        <rFont val="Calibri"/>
        <family val="2"/>
        <scheme val="minor"/>
      </rPr>
      <t>8pcs/case</t>
    </r>
  </si>
  <si>
    <t>80GY12AOPCAKc1007</t>
  </si>
  <si>
    <r>
      <t xml:space="preserve">Gruyère AOP 12 Months CAVE AGED King Cut, </t>
    </r>
    <r>
      <rPr>
        <sz val="9"/>
        <color theme="1"/>
        <rFont val="Calibri"/>
        <family val="2"/>
        <scheme val="minor"/>
      </rPr>
      <t>2pcs/case</t>
    </r>
  </si>
  <si>
    <t>80GY12AOPCA12Wd1007</t>
  </si>
  <si>
    <r>
      <t xml:space="preserve">Gruyère AOP 12 Months CAVE AGED 1/12 Wedge, </t>
    </r>
    <r>
      <rPr>
        <sz val="9"/>
        <color theme="1"/>
        <rFont val="Calibri"/>
        <family val="2"/>
        <scheme val="minor"/>
      </rPr>
      <t>4pcs/case</t>
    </r>
  </si>
  <si>
    <t>80GY5AOP150PrF1007</t>
  </si>
  <si>
    <r>
      <t xml:space="preserve">Gruyère AOP 5 Months 150 Portion, </t>
    </r>
    <r>
      <rPr>
        <sz val="9"/>
        <color theme="1"/>
        <rFont val="Calibri"/>
        <family val="2"/>
        <scheme val="minor"/>
      </rPr>
      <t>8pcs/case</t>
    </r>
  </si>
  <si>
    <t xml:space="preserve">80GY5AOPKc1007 </t>
  </si>
  <si>
    <r>
      <t xml:space="preserve">Gruyère AOP 5 Months King Cut mild (ohne Rinde), </t>
    </r>
    <r>
      <rPr>
        <sz val="9"/>
        <color theme="1"/>
        <rFont val="Calibri"/>
        <family val="2"/>
        <scheme val="minor"/>
      </rPr>
      <t>2pcs/case</t>
    </r>
  </si>
  <si>
    <t>20APBLWh1008</t>
  </si>
  <si>
    <t>1008</t>
  </si>
  <si>
    <t>Möllans Ost</t>
  </si>
  <si>
    <r>
      <t>DDP (</t>
    </r>
    <r>
      <rPr>
        <b/>
        <sz val="11"/>
        <color rgb="FFFF0000"/>
        <rFont val="Calibri"/>
        <family val="2"/>
        <scheme val="minor"/>
      </rPr>
      <t>MOQ: 3 pal!</t>
    </r>
    <r>
      <rPr>
        <b/>
        <sz val="11"/>
        <color theme="1"/>
        <rFont val="Calibri"/>
        <family val="2"/>
        <scheme val="minor"/>
      </rPr>
      <t>)</t>
    </r>
  </si>
  <si>
    <t>20APWLWh1008</t>
  </si>
  <si>
    <t>Appenzeller White Label (Creamy)</t>
  </si>
  <si>
    <r>
      <t>Appenzeller Black Label (Extra-Würzig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</si>
  <si>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r>
      <t>Appenzeller White Label (Creamy)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</si>
  <si>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130BRT2Wd1008</t>
  </si>
  <si>
    <t>Gebrüder Eberle AG</t>
  </si>
  <si>
    <r>
      <t xml:space="preserve">Brie with truffle </t>
    </r>
    <r>
      <rPr>
        <sz val="10"/>
        <color theme="1"/>
        <rFont val="Calibri"/>
        <family val="2"/>
        <scheme val="minor"/>
      </rPr>
      <t>(=Trüffel)</t>
    </r>
  </si>
  <si>
    <t>130BRWG2Wd1008</t>
  </si>
  <si>
    <r>
      <t xml:space="preserve">Brie with wild garlic </t>
    </r>
    <r>
      <rPr>
        <sz val="10"/>
        <color theme="1"/>
        <rFont val="Calibri"/>
        <family val="2"/>
        <scheme val="minor"/>
      </rPr>
      <t>(=Bärlauch)</t>
    </r>
  </si>
  <si>
    <t>30GY15AOPWh1008</t>
  </si>
  <si>
    <t>Eicher's Söhne</t>
  </si>
  <si>
    <t>Gruyère AOP Cave Aged Wheel</t>
  </si>
  <si>
    <t>30GY15AOP8Wd1008</t>
  </si>
  <si>
    <r>
      <t xml:space="preserve">Gruyère AOP Cave Aged 1/8 Wedge, </t>
    </r>
    <r>
      <rPr>
        <sz val="9"/>
        <color theme="1"/>
        <rFont val="Calibri"/>
        <family val="2"/>
        <scheme val="minor"/>
      </rPr>
      <t>2pcs/case</t>
    </r>
  </si>
  <si>
    <t>30ET18AOPAlp8Wd1008</t>
  </si>
  <si>
    <r>
      <t xml:space="preserve">Etivaz AOP Alpage 1/8 Wedge (18M), </t>
    </r>
    <r>
      <rPr>
        <sz val="9"/>
        <color theme="1"/>
        <rFont val="Calibri"/>
        <family val="2"/>
        <scheme val="minor"/>
      </rPr>
      <t>2pcs/case</t>
    </r>
  </si>
  <si>
    <t>80GY12AOP150PrF1008</t>
  </si>
  <si>
    <r>
      <t xml:space="preserve">Gruyère AOP Portion 150g fix (12 Months), </t>
    </r>
    <r>
      <rPr>
        <sz val="9"/>
        <color theme="1"/>
        <rFont val="Calibri"/>
        <family val="2"/>
        <scheme val="minor"/>
      </rPr>
      <t>10pcs/case</t>
    </r>
  </si>
  <si>
    <r>
      <t xml:space="preserve">Unsere RE: </t>
    </r>
    <r>
      <rPr>
        <sz val="11"/>
        <color rgb="FFFF0000"/>
        <rFont val="Calibri"/>
        <family val="2"/>
        <scheme val="minor"/>
      </rPr>
      <t xml:space="preserve">pro Stück </t>
    </r>
    <r>
      <rPr>
        <sz val="11"/>
        <color theme="1"/>
        <rFont val="Calibri"/>
        <family val="2"/>
        <scheme val="minor"/>
      </rPr>
      <t>verrechnen</t>
    </r>
  </si>
  <si>
    <t>20SLWh1008</t>
  </si>
  <si>
    <t>20TSWh1008</t>
  </si>
  <si>
    <t xml:space="preserve">Thunderstorm </t>
  </si>
  <si>
    <t>20TS150PrV1008</t>
  </si>
  <si>
    <r>
      <t xml:space="preserve">Thunderstorm, Portion 150g, </t>
    </r>
    <r>
      <rPr>
        <sz val="9"/>
        <color theme="1"/>
        <rFont val="Calibri"/>
        <family val="2"/>
        <scheme val="minor"/>
      </rPr>
      <t>10pcs/case</t>
    </r>
  </si>
  <si>
    <t>ohne Laibetikette, Karton</t>
  </si>
  <si>
    <r>
      <t xml:space="preserve">Unsere RE: </t>
    </r>
    <r>
      <rPr>
        <sz val="11"/>
        <color rgb="FFFF0000"/>
        <rFont val="Calibri"/>
        <family val="2"/>
        <scheme val="minor"/>
      </rPr>
      <t>pro kg</t>
    </r>
    <r>
      <rPr>
        <sz val="11"/>
        <color theme="1"/>
        <rFont val="Calibri"/>
        <family val="2"/>
        <scheme val="minor"/>
      </rPr>
      <t xml:space="preserve"> verrechnen</t>
    </r>
  </si>
  <si>
    <t>20RDEWh1008</t>
  </si>
  <si>
    <t>Red Devil Extra</t>
  </si>
  <si>
    <t>20RcClSq1008</t>
  </si>
  <si>
    <t>Raclette Classic Square (Raw Cow's milk)</t>
  </si>
  <si>
    <t>20WBKWh1008</t>
  </si>
  <si>
    <t>Wildblütenkäse</t>
  </si>
  <si>
    <t>ohne Laibetikette, Foodplast, Karton</t>
  </si>
  <si>
    <t>20WBK2Wd1008</t>
  </si>
  <si>
    <r>
      <t xml:space="preserve">Wildblütenkäse 1/2 Wedge, </t>
    </r>
    <r>
      <rPr>
        <sz val="9"/>
        <color theme="1"/>
        <rFont val="Calibri"/>
        <family val="2"/>
        <scheme val="minor"/>
      </rPr>
      <t>1pc/Karton (Halblaibkarton)</t>
    </r>
  </si>
  <si>
    <t>ohne Laibetikette, vakuumiert, Karton</t>
  </si>
  <si>
    <t>20BSCrWh1008</t>
  </si>
  <si>
    <t>EUR / Tageskurs</t>
  </si>
  <si>
    <t>20BSCr150PrV1008</t>
  </si>
  <si>
    <r>
      <t xml:space="preserve">Bergsteiger Creamy, Portion 150g, </t>
    </r>
    <r>
      <rPr>
        <sz val="9"/>
        <color theme="1"/>
        <rFont val="Calibri"/>
        <family val="2"/>
        <scheme val="minor"/>
      </rPr>
      <t>10pcs/case</t>
    </r>
  </si>
  <si>
    <t>20TTWh1008</t>
  </si>
  <si>
    <t>Trüffeltraum</t>
  </si>
  <si>
    <t>20ZKWh1008</t>
  </si>
  <si>
    <t>Zirbenkönigin</t>
  </si>
  <si>
    <t>20SRKWh1008</t>
  </si>
  <si>
    <r>
      <t xml:space="preserve">Schweizer Rahmkäse, </t>
    </r>
    <r>
      <rPr>
        <sz val="9"/>
        <color theme="1"/>
        <rFont val="Calibri"/>
        <family val="2"/>
        <scheme val="minor"/>
      </rPr>
      <t>4kg Laib</t>
    </r>
  </si>
  <si>
    <t>20AW108Wd1008</t>
  </si>
  <si>
    <r>
      <t xml:space="preserve">Grünberger 10M 1/8 Wedge, </t>
    </r>
    <r>
      <rPr>
        <sz val="9"/>
        <color rgb="FFFF0000"/>
        <rFont val="Calibri"/>
        <family val="2"/>
        <scheme val="minor"/>
      </rPr>
      <t>wie viele pcs pro Karton?</t>
    </r>
    <r>
      <rPr>
        <sz val="11"/>
        <color theme="1"/>
        <rFont val="Calibri"/>
        <family val="2"/>
        <scheme val="minor"/>
      </rPr>
      <t xml:space="preserve"> (Käse von Keller)</t>
    </r>
  </si>
  <si>
    <t>Laibetikette? , Karton</t>
  </si>
  <si>
    <t>20HHEWh1008</t>
  </si>
  <si>
    <r>
      <t xml:space="preserve">Holzhofer extra rezent, </t>
    </r>
    <r>
      <rPr>
        <sz val="9"/>
        <color theme="1"/>
        <rFont val="Calibri"/>
        <family val="2"/>
        <scheme val="minor"/>
      </rPr>
      <t>4kg Laib, MOQ = 10 Laibe</t>
    </r>
  </si>
  <si>
    <t>mit Laibetikette, Foodplast?, Karton</t>
  </si>
  <si>
    <t>100AW5Wh1008</t>
  </si>
  <si>
    <r>
      <t xml:space="preserve">Alpenwunder 5M Wheel, </t>
    </r>
    <r>
      <rPr>
        <sz val="9"/>
        <color theme="1"/>
        <rFont val="Calibri"/>
        <family val="2"/>
        <scheme val="minor"/>
      </rPr>
      <t>MOQ = 20 Laibe</t>
    </r>
  </si>
  <si>
    <t>20AW10Wh1008</t>
  </si>
  <si>
    <r>
      <t xml:space="preserve">Grünberger 10M Wheel, </t>
    </r>
    <r>
      <rPr>
        <sz val="9"/>
        <color theme="1"/>
        <rFont val="Calibri"/>
        <family val="2"/>
        <scheme val="minor"/>
      </rPr>
      <t>MOQ = 1 Laib</t>
    </r>
  </si>
  <si>
    <t>100AW5rlEb1009</t>
  </si>
  <si>
    <t>1009</t>
  </si>
  <si>
    <t>INDUSTRIAS</t>
  </si>
  <si>
    <t>ES</t>
  </si>
  <si>
    <t>Grünberger EB rindless</t>
  </si>
  <si>
    <t>EUR fix</t>
  </si>
  <si>
    <t>80GY6AOPKc1012</t>
  </si>
  <si>
    <t>Abbey Speciality Foods</t>
  </si>
  <si>
    <r>
      <t>Gruyère AOP 6M King Cuts,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2pcs/case</t>
    </r>
  </si>
  <si>
    <t>Kunde organisiert Container, wir timen Bestellung</t>
  </si>
  <si>
    <t>80GY6AOP4Wd1012</t>
  </si>
  <si>
    <r>
      <t xml:space="preserve">Gruyère AOP 6M 1/4 Wedge, </t>
    </r>
    <r>
      <rPr>
        <sz val="9"/>
        <color theme="1"/>
        <rFont val="Calibri"/>
        <family val="2"/>
        <scheme val="minor"/>
      </rPr>
      <t>1pc/case</t>
    </r>
  </si>
  <si>
    <t>80GY6AOPWh1012</t>
  </si>
  <si>
    <t>Gruyère AOP 6M Wheel</t>
  </si>
  <si>
    <t>10SSSc1012</t>
  </si>
  <si>
    <r>
      <t xml:space="preserve">Switzerland Swiss Super Cuts, </t>
    </r>
    <r>
      <rPr>
        <sz val="9"/>
        <color theme="1"/>
        <rFont val="Calibri"/>
        <family val="2"/>
        <scheme val="minor"/>
      </rPr>
      <t>2pcs/case</t>
    </r>
  </si>
  <si>
    <t>10EM4Cc1012</t>
  </si>
  <si>
    <t>120APSLWh1012</t>
  </si>
  <si>
    <t>110TdMWh1012</t>
  </si>
  <si>
    <r>
      <t xml:space="preserve">Tête de Moine, </t>
    </r>
    <r>
      <rPr>
        <sz val="9"/>
        <color theme="1"/>
        <rFont val="Calibri"/>
        <family val="2"/>
        <scheme val="minor"/>
      </rPr>
      <t>4pcs/case</t>
    </r>
  </si>
  <si>
    <t>10MMRClWh1012</t>
  </si>
  <si>
    <t>Swiss Raclette Wheel</t>
  </si>
  <si>
    <t>20AW104Wd1012</t>
  </si>
  <si>
    <r>
      <t xml:space="preserve">Alpenwunder 10M 1/4 Wedge </t>
    </r>
    <r>
      <rPr>
        <sz val="10"/>
        <color theme="1"/>
        <rFont val="Calibri"/>
        <family val="2"/>
        <scheme val="minor"/>
      </rPr>
      <t>(Käse von Keller)</t>
    </r>
    <r>
      <rPr>
        <sz val="11"/>
        <color theme="1"/>
        <rFont val="Calibri"/>
        <family val="2"/>
        <scheme val="minor"/>
      </rPr>
      <t xml:space="preserve">, </t>
    </r>
    <r>
      <rPr>
        <sz val="9"/>
        <color theme="1"/>
        <rFont val="Calibri"/>
        <family val="2"/>
        <scheme val="minor"/>
      </rPr>
      <t>1pc/Karton, 60pcs/Palette</t>
    </r>
  </si>
  <si>
    <t>mit Laibetikette, vakuumiert, Karton, mit Repack-Stickers</t>
  </si>
  <si>
    <t>20TTWh1012</t>
  </si>
  <si>
    <t>mit Laibetikette, Karton, mit Repack-Stickers</t>
  </si>
  <si>
    <t>50GY6AOP150PrF1012</t>
  </si>
  <si>
    <r>
      <t xml:space="preserve">Gruyère AOP 6M 150g Portion FIX  </t>
    </r>
    <r>
      <rPr>
        <sz val="10"/>
        <color theme="1"/>
        <rFont val="Calibri"/>
        <family val="2"/>
        <scheme val="minor"/>
      </rPr>
      <t>(Käse von Milka)</t>
    </r>
    <r>
      <rPr>
        <sz val="11"/>
        <color theme="1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12pcs/case</t>
    </r>
  </si>
  <si>
    <t>50EM4150PrF1012</t>
  </si>
  <si>
    <r>
      <t xml:space="preserve">Emmentaler AOP 150g Portion FIX, </t>
    </r>
    <r>
      <rPr>
        <sz val="9"/>
        <color theme="1"/>
        <rFont val="Calibri"/>
        <family val="2"/>
        <scheme val="minor"/>
      </rPr>
      <t>12pcs/case</t>
    </r>
  </si>
  <si>
    <t>50SS150PrF1012</t>
  </si>
  <si>
    <r>
      <t xml:space="preserve">Switzerland Swiss 150g Portion FIX, </t>
    </r>
    <r>
      <rPr>
        <sz val="9"/>
        <color theme="1"/>
        <rFont val="Calibri"/>
        <family val="2"/>
        <scheme val="minor"/>
      </rPr>
      <t>12pcs/case</t>
    </r>
  </si>
  <si>
    <t>50AW10150PrF1012</t>
  </si>
  <si>
    <r>
      <t xml:space="preserve">Alpenwunder 10M 150 Portion FIX, </t>
    </r>
    <r>
      <rPr>
        <sz val="9"/>
        <color theme="1"/>
        <rFont val="Calibri"/>
        <family val="2"/>
        <scheme val="minor"/>
      </rPr>
      <t>12pcs/case</t>
    </r>
  </si>
  <si>
    <t>50TT150PrF1012</t>
  </si>
  <si>
    <r>
      <t xml:space="preserve">Trüffeltraum 150 Portion FIX, </t>
    </r>
    <r>
      <rPr>
        <sz val="9"/>
        <color theme="1"/>
        <rFont val="Calibri"/>
        <family val="2"/>
        <scheme val="minor"/>
      </rPr>
      <t>12pcs/case</t>
    </r>
  </si>
  <si>
    <t>180GY15AOPCAWh1014</t>
  </si>
  <si>
    <t>Milka Käse</t>
  </si>
  <si>
    <t>Wijnjas</t>
  </si>
  <si>
    <t xml:space="preserve">Gruyère AOP 15M Cave Aged Wheel </t>
  </si>
  <si>
    <t>180GY10AOPRWh1014</t>
  </si>
  <si>
    <t>Gruyère AOP Réserve 10M Wheel</t>
  </si>
  <si>
    <t>180TdMWh1014</t>
  </si>
  <si>
    <t>180RdVAOPWh1014</t>
  </si>
  <si>
    <t>Raclette du Valais AOP</t>
  </si>
  <si>
    <t>180ET12Wh1014</t>
  </si>
  <si>
    <t xml:space="preserve">L'Étivaz AOP </t>
  </si>
  <si>
    <t>180MARWh1014</t>
  </si>
  <si>
    <t>Le Maréchal</t>
  </si>
  <si>
    <t>20APBLWh1014</t>
  </si>
  <si>
    <t>Güntensperger Käse AG/Traber Käse AG</t>
  </si>
  <si>
    <t>20APSLWh1014</t>
  </si>
  <si>
    <t>Appenzeller Silver Label (Mild-Würzig)</t>
  </si>
  <si>
    <t>120APBLWh1014</t>
  </si>
  <si>
    <r>
      <t>Appenzeller Black Label (Extra-Würzig)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</si>
  <si>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120APSLWh1014</t>
  </si>
  <si>
    <r>
      <t>Appenzeller Silver Label (Mild-Würzig)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</si>
  <si>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20SLFd6001014</t>
  </si>
  <si>
    <r>
      <t xml:space="preserve">Swiss Lady Fondue 600g, </t>
    </r>
    <r>
      <rPr>
        <sz val="9"/>
        <color theme="1"/>
        <rFont val="Calibri"/>
        <family val="2"/>
        <scheme val="minor"/>
      </rPr>
      <t>6pcs/(Halblaib)karton</t>
    </r>
  </si>
  <si>
    <t>Halblaibkarton</t>
  </si>
  <si>
    <r>
      <t xml:space="preserve">unsere RE: </t>
    </r>
    <r>
      <rPr>
        <sz val="11"/>
        <color rgb="FFFF0000"/>
        <rFont val="Calibri"/>
        <family val="2"/>
        <scheme val="minor"/>
      </rPr>
      <t xml:space="preserve">pro Stück </t>
    </r>
    <r>
      <rPr>
        <sz val="11"/>
        <color theme="1"/>
        <rFont val="Calibri"/>
        <family val="2"/>
        <scheme val="minor"/>
      </rPr>
      <t>verrechnen</t>
    </r>
  </si>
  <si>
    <t>20TSWh1014</t>
  </si>
  <si>
    <t>Thunderstorm Wheel</t>
  </si>
  <si>
    <t>20RcClSq1014</t>
  </si>
  <si>
    <r>
      <t xml:space="preserve">Raclette Classic (Raw Cow's milk), </t>
    </r>
    <r>
      <rPr>
        <sz val="9"/>
        <color theme="1"/>
        <rFont val="Calibri"/>
        <family val="2"/>
        <scheme val="minor"/>
      </rPr>
      <t>Square (gewaschen)</t>
    </r>
  </si>
  <si>
    <t>180CHHWh1014</t>
  </si>
  <si>
    <t>Chällerhocker Lait Cru</t>
  </si>
  <si>
    <t>20BSCrWh1014</t>
  </si>
  <si>
    <t>180VCRWh1014</t>
  </si>
  <si>
    <t>Vully Classique Rouge Wheel</t>
  </si>
  <si>
    <t>180VRNWh1014</t>
  </si>
  <si>
    <t>Vully Réserve Noir Wheel</t>
  </si>
  <si>
    <t>180EM12RWh1014</t>
  </si>
  <si>
    <t>Emmentaler AOP Réserve 12M Wheel</t>
  </si>
  <si>
    <t>180EM16Wh1014</t>
  </si>
  <si>
    <t>Emmentaler AOP 16M Wheel</t>
  </si>
  <si>
    <t>60AW8Wh1014</t>
  </si>
  <si>
    <t>Keller's Milch- &amp; Käsespezialitäten</t>
  </si>
  <si>
    <t>Grünberger Extra Wheel (8M)</t>
  </si>
  <si>
    <t>120APSLWh1019</t>
  </si>
  <si>
    <t>EKOLGIDA</t>
  </si>
  <si>
    <t>Turkey</t>
  </si>
  <si>
    <t>Appenzeller Silver Label  Wheel</t>
  </si>
  <si>
    <t>10EM4Kc1019</t>
  </si>
  <si>
    <r>
      <t xml:space="preserve">Emmentaler AOP King Cuts, </t>
    </r>
    <r>
      <rPr>
        <sz val="9"/>
        <color theme="1"/>
        <rFont val="Calibri"/>
        <family val="2"/>
        <scheme val="minor"/>
      </rPr>
      <t>4pcs/case</t>
    </r>
  </si>
  <si>
    <t xml:space="preserve">Preiserhöhung VP ab Sept </t>
  </si>
  <si>
    <t>10EM4Sc1019</t>
  </si>
  <si>
    <r>
      <t xml:space="preserve">Emmentaler AOP Super Cuts 7kg, </t>
    </r>
    <r>
      <rPr>
        <sz val="9"/>
        <color theme="1"/>
        <rFont val="Calibri"/>
        <family val="2"/>
        <scheme val="minor"/>
      </rPr>
      <t>2 pcs/case</t>
    </r>
  </si>
  <si>
    <t>80GY6AOPWh1019</t>
  </si>
  <si>
    <r>
      <t xml:space="preserve">Gruyère AOP 6M Wheel, </t>
    </r>
    <r>
      <rPr>
        <sz val="9"/>
        <color theme="1"/>
        <rFont val="Calibri"/>
        <family val="2"/>
        <scheme val="minor"/>
      </rPr>
      <t>in case</t>
    </r>
  </si>
  <si>
    <t>110TdMRWh1019</t>
  </si>
  <si>
    <r>
      <t xml:space="preserve">Tête de Moine Réserve Wheel, </t>
    </r>
    <r>
      <rPr>
        <sz val="9"/>
        <color theme="1"/>
        <rFont val="Calibri"/>
        <family val="2"/>
        <scheme val="minor"/>
      </rPr>
      <t>4 pcs/case</t>
    </r>
  </si>
  <si>
    <t>110TdMWh1019</t>
  </si>
  <si>
    <r>
      <t xml:space="preserve">Tête de Moine Wheel, </t>
    </r>
    <r>
      <rPr>
        <sz val="9"/>
        <color theme="1"/>
        <rFont val="Calibri"/>
        <family val="2"/>
        <scheme val="minor"/>
      </rPr>
      <t>4 pcs/case</t>
    </r>
  </si>
  <si>
    <t>80TLGWh1019</t>
  </si>
  <si>
    <t>Tilsiter green Wheel</t>
  </si>
  <si>
    <t>80VFAAOPWh1019</t>
  </si>
  <si>
    <t xml:space="preserve">Vacherin Fribourgeois AOP Wheel </t>
  </si>
  <si>
    <t>100AW5Wh1019</t>
  </si>
  <si>
    <t xml:space="preserve">Alpenwunder 5M Wheel </t>
  </si>
  <si>
    <t>10MMRClWh1019</t>
  </si>
  <si>
    <t>Mountain Milk Raclette Wheel</t>
  </si>
  <si>
    <t>20APBLWh1020</t>
  </si>
  <si>
    <t>Guido's Fresh Marketplace</t>
  </si>
  <si>
    <t>CIP</t>
  </si>
  <si>
    <t>20RDWh1020</t>
  </si>
  <si>
    <t>20RcRMSq1020</t>
  </si>
  <si>
    <r>
      <t xml:space="preserve">Raw Cow’s Milk Raclette, </t>
    </r>
    <r>
      <rPr>
        <sz val="9"/>
        <color theme="1"/>
        <rFont val="Calibri"/>
        <family val="2"/>
        <scheme val="minor"/>
      </rPr>
      <t>Square</t>
    </r>
  </si>
  <si>
    <t>Karton</t>
  </si>
  <si>
    <t>80EMAOPWh1020</t>
  </si>
  <si>
    <t>80GY12AOPWh1020</t>
  </si>
  <si>
    <t>Gruyère AOP Wheel 12M</t>
  </si>
  <si>
    <t>80ET10AOPWh</t>
  </si>
  <si>
    <t>Etivaz AOP Wheel 10M</t>
  </si>
  <si>
    <t>80TDMWh1020</t>
  </si>
  <si>
    <r>
      <t xml:space="preserve">Tête de Moine Wheel, </t>
    </r>
    <r>
      <rPr>
        <sz val="9"/>
        <color theme="1"/>
        <rFont val="Calibri"/>
        <family val="2"/>
        <scheme val="minor"/>
      </rPr>
      <t>4pcs/case</t>
    </r>
  </si>
  <si>
    <t>80VFAOPWh1020</t>
  </si>
  <si>
    <t>Vacherin Fribourgeois AOP Wheel</t>
  </si>
  <si>
    <t>80VRNWh1020</t>
  </si>
  <si>
    <t>80VCRWh1020</t>
  </si>
  <si>
    <t>Vully Classic Rouge Wheel</t>
  </si>
  <si>
    <t>80TLGWh1020</t>
  </si>
  <si>
    <t>Tilsiter Green Wheel</t>
  </si>
  <si>
    <t>80TLRWh1020</t>
  </si>
  <si>
    <t>Tilsiter Red Wheel</t>
  </si>
  <si>
    <t>80RdVAOP1020</t>
  </si>
  <si>
    <t>120APSLWh1021</t>
  </si>
  <si>
    <t>Angeles</t>
  </si>
  <si>
    <t>AU</t>
  </si>
  <si>
    <t>50APSLWh1021</t>
  </si>
  <si>
    <t>80GY6AOPWh1021</t>
  </si>
  <si>
    <t>Gruyère AOP (6 months) Wheel</t>
  </si>
  <si>
    <t>80GY6AOPKc1021</t>
  </si>
  <si>
    <r>
      <t xml:space="preserve">Gruyère AOP (6 months) King Cut, </t>
    </r>
    <r>
      <rPr>
        <sz val="9"/>
        <color theme="1"/>
        <rFont val="Calibri"/>
        <family val="2"/>
        <scheme val="minor"/>
      </rPr>
      <t>5pcs/case</t>
    </r>
  </si>
  <si>
    <t>80GY10AOPWh1021</t>
  </si>
  <si>
    <t xml:space="preserve">Gruyère AOP Réserve Wheel (10M)  </t>
  </si>
  <si>
    <t>80TDMWh1021</t>
  </si>
  <si>
    <r>
      <t xml:space="preserve">Tête de Moine AOP Wheel, </t>
    </r>
    <r>
      <rPr>
        <sz val="9"/>
        <color theme="1"/>
        <rFont val="Calibri"/>
        <family val="2"/>
        <scheme val="minor"/>
      </rPr>
      <t>4pcs/case</t>
    </r>
  </si>
  <si>
    <t>110TDMWh1021</t>
  </si>
  <si>
    <t>80TDMRWh1021</t>
  </si>
  <si>
    <r>
      <t xml:space="preserve">Tête de Moine AOP Wheel Reserve, </t>
    </r>
    <r>
      <rPr>
        <sz val="9"/>
        <color theme="1"/>
        <rFont val="Calibri"/>
        <family val="2"/>
        <scheme val="minor"/>
      </rPr>
      <t>4pcs/case</t>
    </r>
  </si>
  <si>
    <t>19.25 vorgeschlagen, FB Kunde ausstehend</t>
  </si>
  <si>
    <t>150FdSSCl1021</t>
  </si>
  <si>
    <r>
      <t xml:space="preserve">Fondue Classic - Ready to use - 400g, </t>
    </r>
    <r>
      <rPr>
        <sz val="9"/>
        <color theme="1"/>
        <rFont val="Calibri"/>
        <family val="2"/>
        <scheme val="minor"/>
      </rPr>
      <t>12pcs/case</t>
    </r>
  </si>
  <si>
    <t>150RClSq1021</t>
  </si>
  <si>
    <t>Swiss Raclette Bloc</t>
  </si>
  <si>
    <t>50RclClSq1021</t>
  </si>
  <si>
    <t>10EMAOPKc1021</t>
  </si>
  <si>
    <r>
      <t xml:space="preserve">Emmentaler Switzerland AOP King Cut </t>
    </r>
    <r>
      <rPr>
        <sz val="10"/>
        <color theme="1"/>
        <rFont val="Calibri"/>
        <family val="2"/>
        <scheme val="minor"/>
      </rPr>
      <t>(nicht verwenden)</t>
    </r>
  </si>
  <si>
    <t>50EMAOPKc1021</t>
  </si>
  <si>
    <r>
      <t xml:space="preserve">Emmentaler Switzerland AOP King Cut, </t>
    </r>
    <r>
      <rPr>
        <sz val="9"/>
        <color theme="1"/>
        <rFont val="Calibri"/>
        <family val="2"/>
        <scheme val="minor"/>
      </rPr>
      <t>2pcs/case</t>
    </r>
  </si>
  <si>
    <t>120APWLWh1022</t>
  </si>
  <si>
    <t>Engelmanns</t>
  </si>
  <si>
    <t>DDP Pratteln</t>
  </si>
  <si>
    <t>120APSLWh1022</t>
  </si>
  <si>
    <t>Appenzeller Silver Label (Classic)</t>
  </si>
  <si>
    <t>120APBLWh1022</t>
  </si>
  <si>
    <t xml:space="preserve">Appenzeller Black Label </t>
  </si>
  <si>
    <t>120APPLWh1022</t>
  </si>
  <si>
    <t>Appenzeller Purple Label Wheel</t>
  </si>
  <si>
    <t>20TSWh1022</t>
  </si>
  <si>
    <t>180CHHWh1022</t>
  </si>
  <si>
    <t>20CHHWh1022</t>
  </si>
  <si>
    <t>Chällerhocker</t>
  </si>
  <si>
    <t>60GB6Wh1022</t>
  </si>
  <si>
    <r>
      <t xml:space="preserve">Engelalp 6M </t>
    </r>
    <r>
      <rPr>
        <sz val="9"/>
        <color theme="1"/>
        <rFont val="Calibri"/>
        <family val="2"/>
        <scheme val="minor"/>
      </rPr>
      <t>(intern: Alpenwunder 6M)</t>
    </r>
  </si>
  <si>
    <t>20GB68Wd1022</t>
  </si>
  <si>
    <r>
      <t>Engelalp 6M 1/8 Wedge,</t>
    </r>
    <r>
      <rPr>
        <sz val="9"/>
        <color theme="1"/>
        <rFont val="Calibri"/>
        <family val="2"/>
        <scheme val="minor"/>
      </rPr>
      <t xml:space="preserve"> ca. 4kg, 2pcs/Karton (intern: Alpenwunder 6M)</t>
    </r>
  </si>
  <si>
    <t>mit Laibetikette, vakuumiert, Karton</t>
  </si>
  <si>
    <t>20GB128Wd1022</t>
  </si>
  <si>
    <r>
      <t>Engelalp 12M 1/8 Wedge,</t>
    </r>
    <r>
      <rPr>
        <sz val="9"/>
        <color theme="1"/>
        <rFont val="Calibri"/>
        <family val="2"/>
        <scheme val="minor"/>
      </rPr>
      <t xml:space="preserve"> ca. 4kg, 2pcs/Karton (intern: Alpenwunder 12M)</t>
    </r>
  </si>
  <si>
    <t>20TTWh1022</t>
  </si>
  <si>
    <r>
      <t xml:space="preserve">Engelalp Tryffel </t>
    </r>
    <r>
      <rPr>
        <sz val="9"/>
        <color theme="1"/>
        <rFont val="Calibri"/>
        <family val="2"/>
        <scheme val="minor"/>
      </rPr>
      <t>(intern: Trüffeltraum)</t>
    </r>
  </si>
  <si>
    <t>20SL3Wh1022</t>
  </si>
  <si>
    <r>
      <t xml:space="preserve">Engelalp Creamy </t>
    </r>
    <r>
      <rPr>
        <sz val="9"/>
        <color theme="1"/>
        <rFont val="Calibri"/>
        <family val="2"/>
        <scheme val="minor"/>
      </rPr>
      <t>(intern: Swiss Lady)</t>
    </r>
  </si>
  <si>
    <t>20BSCrWh1022</t>
  </si>
  <si>
    <t>80GY6AOPKc1023</t>
  </si>
  <si>
    <t>Royal International Commerce</t>
  </si>
  <si>
    <r>
      <t xml:space="preserve">Gruyère AOP 6M King Cut, </t>
    </r>
    <r>
      <rPr>
        <sz val="9"/>
        <color theme="1"/>
        <rFont val="Calibri"/>
        <family val="2"/>
        <scheme val="minor"/>
      </rPr>
      <t>2pcs/case</t>
    </r>
  </si>
  <si>
    <t>US Pal</t>
  </si>
  <si>
    <t>DDP Port-Saint-Louis-du-Rhône FR</t>
  </si>
  <si>
    <t>50TT150PrF1023</t>
  </si>
  <si>
    <r>
      <t xml:space="preserve">Swiss Truffle Raclette 150g Portion Fix </t>
    </r>
    <r>
      <rPr>
        <sz val="9"/>
        <color theme="1"/>
        <rFont val="Calibri"/>
        <family val="2"/>
        <scheme val="minor"/>
      </rPr>
      <t>(intern: Trüffeltraum), 6pcs/case</t>
    </r>
  </si>
  <si>
    <t>EUR Pal</t>
  </si>
  <si>
    <t>DDP Vernate</t>
  </si>
  <si>
    <t>50AW5150PrF1023</t>
  </si>
  <si>
    <r>
      <t xml:space="preserve">Swiss Alpine Cheese 150g Portion Fix </t>
    </r>
    <r>
      <rPr>
        <sz val="9"/>
        <color theme="1"/>
        <rFont val="Calibri"/>
        <family val="2"/>
        <scheme val="minor"/>
      </rPr>
      <t>(intern: Alpenwunder 5M), 6pcs/case</t>
    </r>
  </si>
  <si>
    <t>50CoAW5150PrF1023</t>
  </si>
  <si>
    <r>
      <t xml:space="preserve">Coles: Swiss Alpine Cheese 150g Portion Fix </t>
    </r>
    <r>
      <rPr>
        <sz val="9"/>
        <color theme="1"/>
        <rFont val="Calibri"/>
        <family val="2"/>
        <scheme val="minor"/>
      </rPr>
      <t>(intern: Alpenwunder 5M), 6pcs/case</t>
    </r>
  </si>
  <si>
    <t>50RclClWh1023</t>
  </si>
  <si>
    <t>US Pal (90pcs)</t>
  </si>
  <si>
    <t>30GY6AOPWh1024</t>
  </si>
  <si>
    <t>Grand Fromage</t>
  </si>
  <si>
    <t>DK</t>
  </si>
  <si>
    <t>DDP Denmark</t>
  </si>
  <si>
    <t>Günti schlägt CHF 500 rauf (CHF 250 für Transport/CHF 250 für Handling)</t>
  </si>
  <si>
    <t>Achtung, wir verrechnen nicht direkt an Grand Fromage</t>
  </si>
  <si>
    <t>30GY12AOPWh1024</t>
  </si>
  <si>
    <t>Gruyère AOP 12M Cave Aged Wheel</t>
  </si>
  <si>
    <t>Rechnungsstellung an Güntensperger</t>
  </si>
  <si>
    <t>RE an Grand Fromage kommt von Günti</t>
  </si>
  <si>
    <t>30EM4AOP8Wd1024</t>
  </si>
  <si>
    <t>Emmentaler AOP 4M 1/8 Wedge (inkl. Karton)</t>
  </si>
  <si>
    <t>wir verrechnen Günti unsere Marge auf Günti Produkte und den vollen Preis für die Produkte von Eicher</t>
  </si>
  <si>
    <t>30EM4AOP16Wd1024</t>
  </si>
  <si>
    <t>Emmentaler AOP 4M 1/16 Wegde (inkl. Karton)</t>
  </si>
  <si>
    <t>30EM12AOP8Wd1024</t>
  </si>
  <si>
    <t>Emmentaler AOP 12M 1/8 Wegde (inkl. Karton)</t>
  </si>
  <si>
    <t>30ET18AOPAlpWh1024</t>
  </si>
  <si>
    <t>L’Etivaz AOP Alpage Wheel (18M)</t>
  </si>
  <si>
    <t>20APBLWh1024</t>
  </si>
  <si>
    <t>20AW5Wh1024</t>
  </si>
  <si>
    <r>
      <t xml:space="preserve">Alpenwunder 5M </t>
    </r>
    <r>
      <rPr>
        <sz val="9"/>
        <color theme="1"/>
        <rFont val="Calibri"/>
        <family val="2"/>
        <scheme val="minor"/>
      </rPr>
      <t>(Käse von Keller)</t>
    </r>
  </si>
  <si>
    <r>
      <rPr>
        <sz val="11"/>
        <color rgb="FFFF0000"/>
        <rFont val="Calibri"/>
        <family val="2"/>
        <scheme val="minor"/>
      </rPr>
      <t>mit Laibetikette?</t>
    </r>
    <r>
      <rPr>
        <sz val="11"/>
        <color theme="1"/>
        <rFont val="Calibri"/>
        <family val="2"/>
        <scheme val="minor"/>
      </rPr>
      <t>, ohne Karton</t>
    </r>
  </si>
  <si>
    <t>20SSEWh1024</t>
  </si>
  <si>
    <t>Schweizer Skifahrer Extra</t>
  </si>
  <si>
    <t>20SRWh1024</t>
  </si>
  <si>
    <t>Schweizer Radlerin</t>
  </si>
  <si>
    <t>20GY14AOPOWh1024</t>
  </si>
  <si>
    <r>
      <t xml:space="preserve">Gruyère AOP Réserve Wheel, Organic </t>
    </r>
    <r>
      <rPr>
        <sz val="9"/>
        <color theme="1"/>
        <rFont val="Calibri"/>
        <family val="2"/>
        <scheme val="minor"/>
      </rPr>
      <t>(MOQ=3wheels)</t>
    </r>
  </si>
  <si>
    <t>80GY6AOP200PrF1025</t>
  </si>
  <si>
    <t>Olive Roots</t>
  </si>
  <si>
    <t>GR/Saudi</t>
  </si>
  <si>
    <r>
      <t xml:space="preserve">Gruyère AOP 6M Portion Fix 200g, </t>
    </r>
    <r>
      <rPr>
        <sz val="9"/>
        <color theme="1"/>
        <rFont val="Calibri"/>
        <family val="2"/>
        <scheme val="minor"/>
      </rPr>
      <t>10pcs/case</t>
    </r>
  </si>
  <si>
    <t>CIF</t>
  </si>
  <si>
    <t>Neuer EP gültig ab 01.07.25</t>
  </si>
  <si>
    <t>80GY12AOPCA200PrF1025</t>
  </si>
  <si>
    <r>
      <t xml:space="preserve">Gruyère AOP 12M Cave Aged Portion Fix 200g, </t>
    </r>
    <r>
      <rPr>
        <sz val="9"/>
        <color theme="1"/>
        <rFont val="Calibri"/>
        <family val="2"/>
        <scheme val="minor"/>
      </rPr>
      <t>10pcs/case</t>
    </r>
  </si>
  <si>
    <t>20SSFEWh1026</t>
  </si>
  <si>
    <t>Fromageriet/Silvertjuren AB</t>
  </si>
  <si>
    <t>20SRWh1026</t>
  </si>
  <si>
    <t>20TTWh1026</t>
  </si>
  <si>
    <t>20WBKWh1026</t>
  </si>
  <si>
    <t>20APBLWh1026</t>
  </si>
  <si>
    <t>20BSCWh1026</t>
  </si>
  <si>
    <r>
      <t xml:space="preserve">Creamy Cheese Wheel </t>
    </r>
    <r>
      <rPr>
        <sz val="9"/>
        <color theme="1"/>
        <rFont val="Calibri"/>
        <family val="2"/>
        <scheme val="minor"/>
      </rPr>
      <t>(intern: Bergsteiger Creamy), kein Laiblabel</t>
    </r>
  </si>
  <si>
    <r>
      <rPr>
        <b/>
        <sz val="11"/>
        <color theme="1"/>
        <rFont val="Calibri"/>
        <family val="2"/>
        <scheme val="minor"/>
      </rPr>
      <t>ohne</t>
    </r>
    <r>
      <rPr>
        <sz val="11"/>
        <color theme="1"/>
        <rFont val="Calibri"/>
        <family val="2"/>
        <scheme val="minor"/>
      </rPr>
      <t xml:space="preserve"> Laibetikette</t>
    </r>
  </si>
  <si>
    <t>20GüRcMSq1026</t>
  </si>
  <si>
    <r>
      <t xml:space="preserve">Günti's Raclette rezent, </t>
    </r>
    <r>
      <rPr>
        <sz val="9"/>
        <rFont val="Calibri"/>
        <family val="2"/>
        <scheme val="minor"/>
      </rPr>
      <t>Square</t>
    </r>
  </si>
  <si>
    <r>
      <t xml:space="preserve">Schweizer Rahmkäse, </t>
    </r>
    <r>
      <rPr>
        <sz val="9"/>
        <color theme="1"/>
        <rFont val="Calibri"/>
        <family val="2"/>
        <scheme val="minor"/>
      </rPr>
      <t>4kg</t>
    </r>
  </si>
  <si>
    <t>20QT8Wd1026</t>
  </si>
  <si>
    <t xml:space="preserve">Quintal 1/8 Wedge </t>
  </si>
  <si>
    <t>vakuumiert, Karton?</t>
  </si>
  <si>
    <t>30GY15AOPWh1026</t>
  </si>
  <si>
    <t>Gruyère AOP Cave Aged 15M Wheel</t>
  </si>
  <si>
    <t>30GY18AOPWh1026</t>
  </si>
  <si>
    <t>Gruyère AOP Cave Aged 18M Wheel</t>
  </si>
  <si>
    <t>30GY20AOPWh1026</t>
  </si>
  <si>
    <t>Gruyère AOP Cave Aged 20M Wheel</t>
  </si>
  <si>
    <t>30ET18AOPAlpWh1026</t>
  </si>
  <si>
    <t>30TDMWh1026</t>
  </si>
  <si>
    <t>30EM15AOPCA8Wd1026</t>
  </si>
  <si>
    <t xml:space="preserve">Emmentaler AOP Cave Aged 15M 1/8 Wedge </t>
  </si>
  <si>
    <t>20SLFd6001026</t>
  </si>
  <si>
    <t>20TSFd600126</t>
  </si>
  <si>
    <r>
      <t xml:space="preserve">Thunderstorm Fondue 600g, </t>
    </r>
    <r>
      <rPr>
        <sz val="9"/>
        <color theme="1"/>
        <rFont val="Calibri"/>
        <family val="2"/>
        <scheme val="minor"/>
      </rPr>
      <t>6pcs/(Halblaib)karton</t>
    </r>
  </si>
  <si>
    <t>20GBRWh1026</t>
  </si>
  <si>
    <t>Alpenwunder Réserve 10M</t>
  </si>
  <si>
    <r>
      <rPr>
        <sz val="11"/>
        <color rgb="FFFF0000"/>
        <rFont val="Calibri"/>
        <family val="2"/>
        <scheme val="minor"/>
      </rPr>
      <t xml:space="preserve">Laibetikette?, </t>
    </r>
    <r>
      <rPr>
        <sz val="11"/>
        <rFont val="Calibri"/>
        <family val="2"/>
        <scheme val="minor"/>
      </rPr>
      <t>ohne Karton</t>
    </r>
  </si>
  <si>
    <t>20SSFEWh1027</t>
  </si>
  <si>
    <t>Vinimar</t>
  </si>
  <si>
    <t>FI</t>
  </si>
  <si>
    <t>mit Laibetikette, Foodplast, Karton, mit Repack-Stickers (rund)</t>
  </si>
  <si>
    <t>20SRWh1027</t>
  </si>
  <si>
    <t>20SWWh1027</t>
  </si>
  <si>
    <t>20BSCr6Wh1027</t>
  </si>
  <si>
    <t>mit Laibetikette, Karton, mit Repack-Stickers (rund)</t>
  </si>
  <si>
    <t>120APBLWh1027</t>
  </si>
  <si>
    <r>
      <t>Appenzeller Black Label Wheel</t>
    </r>
    <r>
      <rPr>
        <b/>
        <sz val="11"/>
        <color rgb="FFFF0000"/>
        <rFont val="Calibri"/>
        <family val="2"/>
        <scheme val="minor"/>
      </rPr>
      <t>*VP gültig nur bei vollen Paletten</t>
    </r>
  </si>
  <si>
    <t>120APPLWh1027</t>
  </si>
  <si>
    <t>20SRLWh1027</t>
  </si>
  <si>
    <r>
      <t>Schweizer Rahmkäse,</t>
    </r>
    <r>
      <rPr>
        <sz val="9"/>
        <color theme="1"/>
        <rFont val="Calibri"/>
        <family val="2"/>
        <scheme val="minor"/>
      </rPr>
      <t xml:space="preserve"> 4kg</t>
    </r>
  </si>
  <si>
    <t>20Qt8Wd1027</t>
  </si>
  <si>
    <t>20TTWh1027</t>
  </si>
  <si>
    <t>20TdMRWh1027</t>
  </si>
  <si>
    <r>
      <t xml:space="preserve">Tête de Moine Réserve Wheel, </t>
    </r>
    <r>
      <rPr>
        <sz val="9"/>
        <rFont val="Calibri"/>
        <family val="2"/>
        <scheme val="minor"/>
      </rPr>
      <t>4pcs/case</t>
    </r>
  </si>
  <si>
    <t>in Alufolie, Karton</t>
  </si>
  <si>
    <t>20GYGR12Wh1027</t>
  </si>
  <si>
    <t>Gruyère Gourmino Réserve 12M</t>
  </si>
  <si>
    <t>mit Laibetikette, ohne Karton</t>
  </si>
  <si>
    <t>20AW108Wd1027</t>
  </si>
  <si>
    <t>Alpenwunder 10M 1/8 Wedges</t>
  </si>
  <si>
    <t>Laibetikette?, ohne Karton</t>
  </si>
  <si>
    <t>50SRL150PrF1027</t>
  </si>
  <si>
    <r>
      <t xml:space="preserve">Rahmkäse 150g Portion, </t>
    </r>
    <r>
      <rPr>
        <sz val="9"/>
        <color theme="1"/>
        <rFont val="Calibri"/>
        <family val="2"/>
        <scheme val="minor"/>
      </rPr>
      <t>10pcs/case (MOQ = 75 cases)</t>
    </r>
  </si>
  <si>
    <t>50SSFE150PrF1027</t>
  </si>
  <si>
    <r>
      <t xml:space="preserve">Skifahrer Extra 150g Portion, </t>
    </r>
    <r>
      <rPr>
        <sz val="9"/>
        <color theme="1"/>
        <rFont val="Calibri"/>
        <family val="2"/>
        <scheme val="minor"/>
      </rPr>
      <t>10pcs/case (MOQ = 75 cases)</t>
    </r>
  </si>
  <si>
    <t>50BSCr150PrF1027</t>
  </si>
  <si>
    <r>
      <t xml:space="preserve">Bergsteiger Creamy 150g Portion, </t>
    </r>
    <r>
      <rPr>
        <sz val="9"/>
        <color theme="1"/>
        <rFont val="Calibri"/>
        <family val="2"/>
        <scheme val="minor"/>
      </rPr>
      <t>10pcs/case (MOQ = 75 cases)</t>
    </r>
  </si>
  <si>
    <t>50TT150PrF1027</t>
  </si>
  <si>
    <r>
      <t xml:space="preserve">Trüffeltraum 150g Portion, </t>
    </r>
    <r>
      <rPr>
        <sz val="9"/>
        <color theme="1"/>
        <rFont val="Calibri"/>
        <family val="2"/>
        <scheme val="minor"/>
      </rPr>
      <t>10pcs/case (MOQ = 75 cases)</t>
    </r>
  </si>
  <si>
    <t>80GY10AOPR8Wd1027</t>
  </si>
  <si>
    <t>Gruyère AOP 10M Réserve 1/8 Wedge</t>
  </si>
  <si>
    <t>30GY15AOPWh1028</t>
  </si>
  <si>
    <t>Ostermesteren</t>
  </si>
  <si>
    <t>20BSCr6Wh1028</t>
  </si>
  <si>
    <t>20TPWh1028</t>
  </si>
  <si>
    <t>30EM4AOPWh1028</t>
  </si>
  <si>
    <t>50MMR4Wd1036</t>
  </si>
  <si>
    <t>Benytrade</t>
  </si>
  <si>
    <t>Slovenia</t>
  </si>
  <si>
    <t>Raclette 1/4 Wedge (Raclette Wheel)</t>
  </si>
  <si>
    <t>20APBLWh1029</t>
  </si>
  <si>
    <t>Cheese Room</t>
  </si>
  <si>
    <t>Dubai</t>
  </si>
  <si>
    <t>DDP Rungis FR</t>
  </si>
  <si>
    <t>20APSLWh1029</t>
  </si>
  <si>
    <t>Appenzeller Silver label (Mild-Würzig)</t>
  </si>
  <si>
    <t>20SRWh1029</t>
  </si>
  <si>
    <t>20SSFWh1029</t>
  </si>
  <si>
    <t>Schweizer Skifahrer</t>
  </si>
  <si>
    <t>20SSFEWh1029</t>
  </si>
  <si>
    <t>20SWWh1029</t>
  </si>
  <si>
    <t>20WBKWh1029</t>
  </si>
  <si>
    <t>80GY6AOPWh1029</t>
  </si>
  <si>
    <t>Gruyère AOP 6M</t>
  </si>
  <si>
    <t>mit Karton</t>
  </si>
  <si>
    <t>80GY10AOPWh1029</t>
  </si>
  <si>
    <t>Gruyère AOP 10M</t>
  </si>
  <si>
    <t>80GY12AOPWh1029</t>
  </si>
  <si>
    <t>Gruyère AOP 12M</t>
  </si>
  <si>
    <t>20TPWh1039</t>
  </si>
  <si>
    <t>Cheese Factory</t>
  </si>
  <si>
    <t>Israel</t>
  </si>
  <si>
    <t>Trüffeltraum Wheel</t>
  </si>
  <si>
    <t>DDP NL</t>
  </si>
  <si>
    <t>20SSEWh1039</t>
  </si>
  <si>
    <t>Skifahrer Extra Wheel</t>
  </si>
  <si>
    <t>20BSCr6Wh1039</t>
  </si>
  <si>
    <t>20PQWh1039</t>
  </si>
  <si>
    <r>
      <t xml:space="preserve">Pink Queen </t>
    </r>
    <r>
      <rPr>
        <sz val="11"/>
        <color rgb="FFFF0000"/>
        <rFont val="Calibri"/>
        <family val="2"/>
        <scheme val="minor"/>
      </rPr>
      <t>*VP günstiger ab 1 Palette, siehe Notiz</t>
    </r>
  </si>
  <si>
    <t>Reduktion 0.6CHF/kg (momentan unbefristet)</t>
  </si>
  <si>
    <t>Gruyère AOP 10M Réserve Wheel</t>
  </si>
  <si>
    <t>80GY6AOP8Wd1039</t>
  </si>
  <si>
    <t>Gruyère AOP 6M 1/8 Wedge</t>
  </si>
  <si>
    <t>80GY10AOP8Wd1039</t>
  </si>
  <si>
    <t>Alpenwunder Réserve 10M Wheel</t>
  </si>
  <si>
    <t>Alpenwunder 5M Wheel</t>
  </si>
  <si>
    <t>50AW58Wd1039</t>
  </si>
  <si>
    <t xml:space="preserve">Alpenwunder 5M 1/8 wedge </t>
  </si>
  <si>
    <t>50AW108Wd1039</t>
  </si>
  <si>
    <t xml:space="preserve">Alpenwunder Réserve 10M 1/8 wedge </t>
  </si>
  <si>
    <t>Appenzeller Silver Label (Mild-Würzig) Wheel</t>
  </si>
  <si>
    <t>Appenzeller Black Label (Extra-Würzig) Wheel</t>
  </si>
  <si>
    <t>20TTWh1040</t>
  </si>
  <si>
    <t>Delica France</t>
  </si>
  <si>
    <t>France</t>
  </si>
  <si>
    <t>DDP Plan-les-Ouates</t>
  </si>
  <si>
    <t>20SSFEWh1040</t>
  </si>
  <si>
    <t>20BSCrWh1040</t>
  </si>
  <si>
    <t>Bergsteiger Creamy Wheel</t>
  </si>
  <si>
    <t>100AW10Wh1040</t>
  </si>
  <si>
    <t>Käserei Neuenschwander AG?</t>
  </si>
  <si>
    <t>Alpenwunder 10M Wheel</t>
  </si>
  <si>
    <t>190AW5100R1040</t>
  </si>
  <si>
    <r>
      <t xml:space="preserve">Alpenwunder 5M Rollen 100g, </t>
    </r>
    <r>
      <rPr>
        <sz val="9"/>
        <color theme="1"/>
        <rFont val="Calibri"/>
        <family val="2"/>
        <scheme val="minor"/>
      </rPr>
      <t>10pcs/case</t>
    </r>
  </si>
  <si>
    <t>20APSL4Wd1041</t>
  </si>
  <si>
    <t>Svensk Cater</t>
  </si>
  <si>
    <r>
      <t xml:space="preserve">Appenzeller Silver Label (Mild-Würzig) 1/4 Wedge, </t>
    </r>
    <r>
      <rPr>
        <sz val="9"/>
        <color theme="1"/>
        <rFont val="Calibri"/>
        <family val="2"/>
        <scheme val="minor"/>
      </rPr>
      <t>4 pcs/case</t>
    </r>
  </si>
  <si>
    <t>20APBL4Wd1041</t>
  </si>
  <si>
    <r>
      <t xml:space="preserve">Appenzeller Black Label (Extra-Würzig) 1/4 Wedge, </t>
    </r>
    <r>
      <rPr>
        <sz val="9"/>
        <color theme="1"/>
        <rFont val="Calibri"/>
        <family val="2"/>
        <scheme val="minor"/>
      </rPr>
      <t>4 pcs/case</t>
    </r>
  </si>
  <si>
    <t>20SSF4Wd1041</t>
  </si>
  <si>
    <r>
      <t xml:space="preserve">Skifahrer Wheel 1/4 Wedge, </t>
    </r>
    <r>
      <rPr>
        <sz val="9"/>
        <color theme="1"/>
        <rFont val="Calibri"/>
        <family val="2"/>
        <scheme val="minor"/>
      </rPr>
      <t>4 pcs/case</t>
    </r>
  </si>
  <si>
    <t>20SSFE4Wd1041</t>
  </si>
  <si>
    <r>
      <t xml:space="preserve">Skifahrer Extra Wheel 1/4 Wedge, </t>
    </r>
    <r>
      <rPr>
        <sz val="9"/>
        <color theme="1"/>
        <rFont val="Calibri"/>
        <family val="2"/>
        <scheme val="minor"/>
      </rPr>
      <t>4 pcs/case</t>
    </r>
  </si>
  <si>
    <t>20TS4Wd1041</t>
  </si>
  <si>
    <r>
      <t xml:space="preserve">Thunderstorm 1/4 Wedge, </t>
    </r>
    <r>
      <rPr>
        <sz val="9"/>
        <color theme="1"/>
        <rFont val="Calibri"/>
        <family val="2"/>
        <scheme val="minor"/>
      </rPr>
      <t>4 pcs/case</t>
    </r>
  </si>
  <si>
    <t>20BSCr4Wd1041</t>
  </si>
  <si>
    <r>
      <t xml:space="preserve">Bergsteiger Creamy 1/4 Wedge, </t>
    </r>
    <r>
      <rPr>
        <sz val="9"/>
        <color theme="1"/>
        <rFont val="Calibri"/>
        <family val="2"/>
        <scheme val="minor"/>
      </rPr>
      <t>4 pcs/case</t>
    </r>
  </si>
  <si>
    <t>20SR4Wd1041</t>
  </si>
  <si>
    <r>
      <t xml:space="preserve">Schweizer Radlerin 1/4 Wedge, </t>
    </r>
    <r>
      <rPr>
        <sz val="9"/>
        <color theme="1"/>
        <rFont val="Calibri"/>
        <family val="2"/>
        <scheme val="minor"/>
      </rPr>
      <t>4 pcs/case</t>
    </r>
  </si>
  <si>
    <t>30GY68Wd1041</t>
  </si>
  <si>
    <r>
      <t xml:space="preserve">Gruyère 6M 1/8 Wedge, </t>
    </r>
    <r>
      <rPr>
        <sz val="9"/>
        <color theme="1"/>
        <rFont val="Calibri"/>
        <family val="2"/>
        <scheme val="minor"/>
      </rPr>
      <t>2pcs/case</t>
    </r>
  </si>
  <si>
    <t>20AW56Wd1042</t>
  </si>
  <si>
    <t>WINETIME / TS PLUS LLC</t>
  </si>
  <si>
    <t>Ukraine</t>
  </si>
  <si>
    <t>Alpenwunder 5M 1/16 Wheel</t>
  </si>
  <si>
    <t>achtung, MHD 6M</t>
  </si>
  <si>
    <t>Wir verrechnen die Ware an Margot! Inkl. MwSt.</t>
  </si>
  <si>
    <t>Alpenwunder  Wheel (6 kg pc) – 24 kg</t>
  </si>
  <si>
    <t>Artikel derzeit noch inaktiv</t>
  </si>
  <si>
    <t>20TT4Wd1042</t>
  </si>
  <si>
    <r>
      <t xml:space="preserve">Trüffeltraum ¼ Wheel, </t>
    </r>
    <r>
      <rPr>
        <sz val="9"/>
        <color theme="1"/>
        <rFont val="Calibri"/>
        <family val="2"/>
        <scheme val="minor"/>
      </rPr>
      <t>4 pcs/case</t>
    </r>
  </si>
  <si>
    <t>20TTWh1042</t>
  </si>
  <si>
    <t>20SL4Wd1042</t>
  </si>
  <si>
    <r>
      <t xml:space="preserve">Swiss Lady ¼ Wheel, </t>
    </r>
    <r>
      <rPr>
        <sz val="9"/>
        <color theme="1"/>
        <rFont val="Calibri"/>
        <family val="2"/>
        <scheme val="minor"/>
      </rPr>
      <t>4 pcs/case</t>
    </r>
  </si>
  <si>
    <t>20TBZ2Wd1042</t>
  </si>
  <si>
    <r>
      <t xml:space="preserve">Toggenburger Ziege ½ wheel, </t>
    </r>
    <r>
      <rPr>
        <sz val="9"/>
        <color theme="1"/>
        <rFont val="Calibri"/>
        <family val="2"/>
        <scheme val="minor"/>
      </rPr>
      <t>2 pcs/case</t>
    </r>
  </si>
  <si>
    <t>20BSCrWh1043</t>
  </si>
  <si>
    <t>Kaashandel Remijn</t>
  </si>
  <si>
    <t>20SRWh1043</t>
  </si>
  <si>
    <t>Schweizer Radlerin Wheel</t>
  </si>
  <si>
    <t>20SSFEWh1043</t>
  </si>
  <si>
    <t>Schweizer Skifahrer Extra Wheel</t>
  </si>
  <si>
    <t>120APSLWh1043</t>
  </si>
  <si>
    <t>120APBLWh1043</t>
  </si>
  <si>
    <t>Appenzeller Black Label Wheel</t>
  </si>
  <si>
    <t>120APPLWh1043</t>
  </si>
  <si>
    <t>20TDMWh1043</t>
  </si>
  <si>
    <t>Tête de Moine Classic Wheel</t>
  </si>
  <si>
    <t>80GY15AOPCAWh1043</t>
  </si>
  <si>
    <t>no case</t>
  </si>
  <si>
    <t>180GY5AOPWh1043</t>
  </si>
  <si>
    <t>Gruyère AOP 5M Mild Wheel</t>
  </si>
  <si>
    <t>20JBWh1043</t>
  </si>
  <si>
    <t>Güntensperger Käse AG/Willy Schmied</t>
  </si>
  <si>
    <t>Jersey Blue</t>
  </si>
  <si>
    <t>DDP Kerkdriel NL</t>
  </si>
  <si>
    <t>20BFWh1043</t>
  </si>
  <si>
    <t>Bergfichte</t>
  </si>
  <si>
    <t>20APSLWh1044</t>
  </si>
  <si>
    <t>Vendecis / Suomi</t>
  </si>
  <si>
    <t>Finland</t>
  </si>
  <si>
    <t>5% Kommission für Suomi</t>
  </si>
  <si>
    <t>20APGLWh1044</t>
  </si>
  <si>
    <t>Appenzeller Gold Label (Kräftig-Würzig) Wheel</t>
  </si>
  <si>
    <t>20APBLWh1044</t>
  </si>
  <si>
    <t>20APOGLWh1044</t>
  </si>
  <si>
    <t>Appenzeller Organic Green Label (Mild-Würzig) Wheel</t>
  </si>
  <si>
    <t>20APODGLWh1044</t>
  </si>
  <si>
    <t>Appenzeller Organic Dark Green Label (Kräftig-Würzig) Wheel</t>
  </si>
  <si>
    <t>20SLFd6001044</t>
  </si>
  <si>
    <t>Swiss Lady Fondue 600g</t>
  </si>
  <si>
    <t>20SLFd4001044</t>
  </si>
  <si>
    <t>Swiss Lady Fondue 400g</t>
  </si>
  <si>
    <t>20WBKWh1044</t>
  </si>
  <si>
    <t>Wildblütenkäse Wheel</t>
  </si>
  <si>
    <t>20TTWh1044</t>
  </si>
  <si>
    <t>Trüffeltraum Wheel ( =Trüffelperle)</t>
  </si>
  <si>
    <t>20TZWh1044</t>
  </si>
  <si>
    <t>Toggenburger Ziege</t>
  </si>
  <si>
    <t>20SSFEWh1044</t>
  </si>
  <si>
    <t>20SRWh1044</t>
  </si>
  <si>
    <t>Radlerin Wheel (=Thunderstorm)</t>
  </si>
  <si>
    <t>20RcClRMSq1044</t>
  </si>
  <si>
    <t>Rohmilch Raclette Classic</t>
  </si>
  <si>
    <t>20BSCrWh1044</t>
  </si>
  <si>
    <t>80GY6AOP4Wd1044</t>
  </si>
  <si>
    <t>Gruyère AOP 6M 1/4 Wedge</t>
  </si>
  <si>
    <t>80GY12AOP4Wd1044</t>
  </si>
  <si>
    <t>80GYAOPAlpWh1044</t>
  </si>
  <si>
    <t>Gruyère AOP Alpage 8M Wheel</t>
  </si>
  <si>
    <t>mit Vorbestellung</t>
  </si>
  <si>
    <t>DDP?</t>
  </si>
  <si>
    <t>100SS90b1033</t>
  </si>
  <si>
    <t>Univita</t>
  </si>
  <si>
    <t>RU</t>
  </si>
  <si>
    <t>Switzerland Swiss Block</t>
  </si>
  <si>
    <t xml:space="preserve">Preis für Transport wird durch uns beglichen und auf die Produkte drauf gerechnet (Bsp. Order 3 Transport 7400 EUR). </t>
  </si>
  <si>
    <t>EUR oder USD</t>
  </si>
  <si>
    <t>100MS90b1033</t>
  </si>
  <si>
    <t>Maasdam Block</t>
  </si>
  <si>
    <t>100CDEb1033</t>
  </si>
  <si>
    <t>Cheddar Block</t>
  </si>
  <si>
    <t>100CDREb1033</t>
  </si>
  <si>
    <t>Cheddar Red Euroblock</t>
  </si>
  <si>
    <t>100EMAOPWh1033</t>
  </si>
  <si>
    <t>100GBEbwr1033</t>
  </si>
  <si>
    <r>
      <t xml:space="preserve">Freebourg 5M </t>
    </r>
    <r>
      <rPr>
        <u/>
        <sz val="11"/>
        <color theme="1"/>
        <rFont val="Calibri"/>
        <family val="2"/>
        <scheme val="minor"/>
      </rPr>
      <t>Euroblock</t>
    </r>
    <r>
      <rPr>
        <sz val="11"/>
        <color theme="1"/>
        <rFont val="Calibri"/>
        <family val="2"/>
        <scheme val="minor"/>
      </rPr>
      <t xml:space="preserve"> (with rind) (=Alpenwunder with rind), </t>
    </r>
    <r>
      <rPr>
        <sz val="9"/>
        <color theme="1"/>
        <rFont val="Calibri"/>
        <family val="2"/>
        <scheme val="minor"/>
      </rPr>
      <t>vakuumiert, 4pcs/case</t>
    </r>
  </si>
  <si>
    <t>100GBRWh1033</t>
  </si>
  <si>
    <r>
      <t xml:space="preserve">Freebourg 10M </t>
    </r>
    <r>
      <rPr>
        <u/>
        <sz val="11"/>
        <color theme="1"/>
        <rFont val="Calibri"/>
        <family val="2"/>
        <scheme val="minor"/>
      </rPr>
      <t>Wheel</t>
    </r>
    <r>
      <rPr>
        <sz val="11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(=Alpenwunder 10M)</t>
    </r>
  </si>
  <si>
    <t>100GB5Wh1033</t>
  </si>
  <si>
    <r>
      <t xml:space="preserve">"Hard aged cheese" = Freebourg 5M </t>
    </r>
    <r>
      <rPr>
        <u/>
        <sz val="11"/>
        <color theme="1"/>
        <rFont val="Calibri"/>
        <family val="2"/>
        <scheme val="minor"/>
      </rPr>
      <t>Wheel</t>
    </r>
    <r>
      <rPr>
        <sz val="11"/>
        <color theme="1"/>
        <rFont val="Calibri"/>
        <family val="2"/>
        <scheme val="minor"/>
      </rPr>
      <t xml:space="preserve"> ohne Laibetikette</t>
    </r>
    <r>
      <rPr>
        <sz val="9"/>
        <color theme="1"/>
        <rFont val="Calibri"/>
        <family val="2"/>
        <scheme val="minor"/>
      </rPr>
      <t xml:space="preserve"> (=Alpenwunder 5M)</t>
    </r>
  </si>
  <si>
    <r>
      <t xml:space="preserve">"Hard aged cheese" = Freebourg 10M </t>
    </r>
    <r>
      <rPr>
        <u/>
        <sz val="11"/>
        <color theme="1"/>
        <rFont val="Calibri"/>
        <family val="2"/>
        <scheme val="minor"/>
      </rPr>
      <t>Wheel</t>
    </r>
    <r>
      <rPr>
        <sz val="11"/>
        <color theme="1"/>
        <rFont val="Calibri"/>
        <family val="2"/>
        <scheme val="minor"/>
      </rPr>
      <t xml:space="preserve"> ohne Laibetikette </t>
    </r>
    <r>
      <rPr>
        <sz val="9"/>
        <color theme="1"/>
        <rFont val="Calibri"/>
        <family val="2"/>
        <scheme val="minor"/>
      </rPr>
      <t>(=Alpenwunder 10M)</t>
    </r>
  </si>
  <si>
    <t>190RClSq1033</t>
  </si>
  <si>
    <t>Raclette Classic Squares</t>
  </si>
  <si>
    <t>190RCl500Sq1033</t>
  </si>
  <si>
    <r>
      <t xml:space="preserve">Raclette Classic pasteurized 500g, </t>
    </r>
    <r>
      <rPr>
        <sz val="9"/>
        <color theme="1"/>
        <rFont val="Calibri"/>
        <family val="2"/>
        <scheme val="minor"/>
      </rPr>
      <t>6pcs/case</t>
    </r>
  </si>
  <si>
    <t>190GY6AOP100R1033</t>
  </si>
  <si>
    <r>
      <t xml:space="preserve">Gruyère AOP 6M Rolls 100g Fix, </t>
    </r>
    <r>
      <rPr>
        <sz val="9"/>
        <color theme="1"/>
        <rFont val="Calibri"/>
        <family val="2"/>
        <scheme val="minor"/>
      </rPr>
      <t>10pcs/case</t>
    </r>
  </si>
  <si>
    <t>190GY6AOP150PrF1033</t>
  </si>
  <si>
    <r>
      <t xml:space="preserve">Gruyère AOP 6M Portion 150g Fix, </t>
    </r>
    <r>
      <rPr>
        <sz val="9"/>
        <color theme="1"/>
        <rFont val="Calibri"/>
        <family val="2"/>
        <scheme val="minor"/>
      </rPr>
      <t>5pcs/case</t>
    </r>
  </si>
  <si>
    <t>190GY6AOPWh1033</t>
  </si>
  <si>
    <r>
      <t xml:space="preserve">Gruyère AOP 6M Wheel </t>
    </r>
    <r>
      <rPr>
        <sz val="10"/>
        <color theme="1"/>
        <rFont val="Calibri"/>
        <family val="2"/>
        <scheme val="minor"/>
      </rPr>
      <t>(in case)</t>
    </r>
  </si>
  <si>
    <t>190AW5100R1033</t>
  </si>
  <si>
    <r>
      <t xml:space="preserve">Freebourg Rolls 100g Fix, </t>
    </r>
    <r>
      <rPr>
        <sz val="9"/>
        <color theme="1"/>
        <rFont val="Calibri"/>
        <family val="2"/>
        <scheme val="minor"/>
      </rPr>
      <t>10pcs/case</t>
    </r>
  </si>
  <si>
    <t>190AW5150Sl1033</t>
  </si>
  <si>
    <r>
      <t xml:space="preserve">Rustic Slices 150g, </t>
    </r>
    <r>
      <rPr>
        <sz val="9"/>
        <color theme="1"/>
        <rFont val="Calibri"/>
        <family val="2"/>
        <scheme val="minor"/>
      </rPr>
      <t>10 pcs/case</t>
    </r>
  </si>
  <si>
    <t>190TdMR1001033</t>
  </si>
  <si>
    <r>
      <t xml:space="preserve">Tête de Moine Rosetten 100g, </t>
    </r>
    <r>
      <rPr>
        <sz val="9"/>
        <color theme="1"/>
        <rFont val="Calibri"/>
        <family val="2"/>
        <scheme val="minor"/>
      </rPr>
      <t>6pcs/case</t>
    </r>
  </si>
  <si>
    <t>190TdMWh1033</t>
  </si>
  <si>
    <r>
      <t xml:space="preserve">Tête de Moine Wheel Classic, </t>
    </r>
    <r>
      <rPr>
        <sz val="9"/>
        <color theme="1"/>
        <rFont val="Calibri"/>
        <family val="2"/>
        <scheme val="minor"/>
      </rPr>
      <t>4pcs/case</t>
    </r>
  </si>
  <si>
    <t>Preisreduktion von 0.5 CHF/kg, neu VP = 17.93</t>
  </si>
  <si>
    <t>190Fd4001033</t>
  </si>
  <si>
    <r>
      <t xml:space="preserve">Fondue 400g, </t>
    </r>
    <r>
      <rPr>
        <sz val="9"/>
        <color theme="1"/>
        <rFont val="Calibri"/>
        <family val="2"/>
        <scheme val="minor"/>
      </rPr>
      <t>10pcs/case</t>
    </r>
  </si>
  <si>
    <t>190MEDWh1033</t>
  </si>
  <si>
    <t xml:space="preserve">Mediterran Wheel </t>
  </si>
  <si>
    <t>190UGRWh1033</t>
  </si>
  <si>
    <t>Ufergold Reserve 6M Wheel</t>
  </si>
  <si>
    <t>190TTWh1033</t>
  </si>
  <si>
    <t>190WKWh1033</t>
  </si>
  <si>
    <t>Weinkuh Wheel</t>
  </si>
  <si>
    <t>190MED4Wd1033</t>
  </si>
  <si>
    <r>
      <t xml:space="preserve">Mediterran 1/4 wheel, </t>
    </r>
    <r>
      <rPr>
        <sz val="9"/>
        <color theme="1"/>
        <rFont val="Calibri"/>
        <family val="2"/>
        <scheme val="minor"/>
      </rPr>
      <t>4pcs/case</t>
    </r>
  </si>
  <si>
    <t>190UGR4Wd1033</t>
  </si>
  <si>
    <r>
      <t xml:space="preserve">Ufergold Reserve 6M 1/4 wheel, </t>
    </r>
    <r>
      <rPr>
        <sz val="9"/>
        <color theme="1"/>
        <rFont val="Calibri"/>
        <family val="2"/>
        <scheme val="minor"/>
      </rPr>
      <t>4pcs/case</t>
    </r>
  </si>
  <si>
    <t>190TT4Wd1033</t>
  </si>
  <si>
    <r>
      <t xml:space="preserve">Trüffeltraum 1/4 wheel, </t>
    </r>
    <r>
      <rPr>
        <sz val="9"/>
        <color theme="1"/>
        <rFont val="Calibri"/>
        <family val="2"/>
        <scheme val="minor"/>
      </rPr>
      <t>4pcs/case</t>
    </r>
  </si>
  <si>
    <t>190WK4Wd1033</t>
  </si>
  <si>
    <r>
      <t xml:space="preserve">Weinkuh 1/4 wheel, </t>
    </r>
    <r>
      <rPr>
        <sz val="9"/>
        <color theme="1"/>
        <rFont val="Calibri"/>
        <family val="2"/>
        <scheme val="minor"/>
      </rPr>
      <t>4pcs/case</t>
    </r>
  </si>
  <si>
    <t>190RK4Wd1033</t>
  </si>
  <si>
    <r>
      <t xml:space="preserve">Rahmkäse "Radlerin" 1/4 wheel, </t>
    </r>
    <r>
      <rPr>
        <sz val="9"/>
        <color theme="1"/>
        <rFont val="Calibri"/>
        <family val="2"/>
        <scheme val="minor"/>
      </rPr>
      <t>4pcs/case</t>
    </r>
  </si>
  <si>
    <t>190GK4Wd1033</t>
  </si>
  <si>
    <r>
      <t xml:space="preserve">Gipfelkrone Mild 1/4 wheel, </t>
    </r>
    <r>
      <rPr>
        <sz val="9"/>
        <color theme="1"/>
        <rFont val="Calibri"/>
        <family val="2"/>
        <scheme val="minor"/>
      </rPr>
      <t>4pcs/case</t>
    </r>
  </si>
  <si>
    <t>190UGM34Wd1033</t>
  </si>
  <si>
    <r>
      <t xml:space="preserve">Ufergold Mild 1/4 wheel, </t>
    </r>
    <r>
      <rPr>
        <sz val="9"/>
        <color theme="1"/>
        <rFont val="Calibri"/>
        <family val="2"/>
        <scheme val="minor"/>
      </rPr>
      <t>4pcs/case</t>
    </r>
  </si>
  <si>
    <t>190UGS94Wd1033</t>
  </si>
  <si>
    <r>
      <t>Ufergold Surchoix 1/4 wheel,</t>
    </r>
    <r>
      <rPr>
        <sz val="9"/>
        <color theme="1"/>
        <rFont val="Calibri"/>
        <family val="2"/>
        <scheme val="minor"/>
      </rPr>
      <t xml:space="preserve"> 4pcs/case</t>
    </r>
  </si>
  <si>
    <t>150HRWh1033</t>
  </si>
  <si>
    <t xml:space="preserve">"Helvetia" =Helvetia Reserve (Parmesan type) 5M Wheel </t>
  </si>
  <si>
    <t>150HiProCH1033</t>
  </si>
  <si>
    <t>"Swiss Spring" = High-pro low fat cheese Wheel</t>
  </si>
  <si>
    <t>150FSCrWh1033</t>
  </si>
  <si>
    <t>Farmer Softcreamcheese ca. 2kg</t>
  </si>
  <si>
    <t>150MChGSp1033</t>
  </si>
  <si>
    <t>Melting cheese garlic 1.5kg</t>
  </si>
  <si>
    <t>150MChKhfSp1033</t>
  </si>
  <si>
    <t>"Kummel light" = Melting cheese Kümmel half-fat 1.5kg</t>
  </si>
  <si>
    <t>150MChKffSp1033</t>
  </si>
  <si>
    <t>"Kummel" = Melting Cheese Kümmel full fat 1.5kg</t>
  </si>
  <si>
    <t>150BRTWh1033</t>
  </si>
  <si>
    <t>Bio Rahmtilsiter</t>
  </si>
  <si>
    <t>150QfTWh1033</t>
  </si>
  <si>
    <t>"Tilsiter light" = 1/4 Fat Tilsiter</t>
  </si>
  <si>
    <t>150SwBr1033</t>
  </si>
  <si>
    <t>"Swiss Brie" = Sandwich brie</t>
  </si>
  <si>
    <t>150BWh1033</t>
  </si>
  <si>
    <t>Bonaparte</t>
  </si>
  <si>
    <t>150QfChWh1033</t>
  </si>
  <si>
    <t>"Light cheese" = 1/4 fett cheese wheel 2M (in foil)</t>
  </si>
  <si>
    <t>150RcBl6001033</t>
  </si>
  <si>
    <t>Raclette 600g</t>
  </si>
  <si>
    <t>150RClSq1033</t>
  </si>
  <si>
    <t>"Raclette Square" = Raclette Block 6kg (foliengereift!)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</si>
  <si>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Vol &lt;1t</t>
    </r>
  </si>
  <si>
    <r>
      <t xml:space="preserve">VP </t>
    </r>
    <r>
      <rPr>
        <b/>
        <sz val="9"/>
        <color indexed="8"/>
        <rFont val="Sans"/>
      </rPr>
      <t>(CHF)</t>
    </r>
    <r>
      <rPr>
        <b/>
        <sz val="10"/>
        <color indexed="8"/>
        <rFont val="Sans"/>
      </rPr>
      <t xml:space="preserve"> / kg</t>
    </r>
    <r>
      <rPr>
        <b/>
        <sz val="10"/>
        <color rgb="FF000000"/>
        <rFont val="Sans"/>
      </rPr>
      <t xml:space="preserve">
Vol &lt;1t</t>
    </r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</si>
  <si>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MOQ: 1</t>
    </r>
    <r>
      <rPr>
        <b/>
        <sz val="10"/>
        <color indexed="8"/>
        <rFont val="Sans"/>
      </rPr>
      <t xml:space="preserve"> Tonne</t>
    </r>
  </si>
  <si>
    <t>VP (CHF) / kg
MOQ: 1 Tonne</t>
  </si>
  <si>
    <r>
      <t xml:space="preserve">EP </t>
    </r>
    <r>
      <rPr>
        <b/>
        <sz val="8"/>
        <color indexed="8"/>
        <rFont val="Sans"/>
      </rPr>
      <t>(CHF)</t>
    </r>
    <r>
      <rPr>
        <b/>
        <sz val="10"/>
        <color indexed="8"/>
        <rFont val="Sans"/>
      </rPr>
      <t xml:space="preserve"> / kg
</t>
    </r>
    <r>
      <rPr>
        <b/>
        <sz val="10"/>
        <color rgb="FF000000"/>
        <rFont val="Sans"/>
      </rPr>
      <t>MOQ: 3</t>
    </r>
    <r>
      <rPr>
        <b/>
        <sz val="10"/>
        <color indexed="8"/>
        <rFont val="Sans"/>
      </rPr>
      <t xml:space="preserve"> Tonnen</t>
    </r>
  </si>
  <si>
    <t>VP (CHF) / kg
MOQ:  3 Tonnen</t>
  </si>
  <si>
    <t>150BonWh1001</t>
  </si>
  <si>
    <t>1001</t>
  </si>
  <si>
    <t>Rusar</t>
  </si>
  <si>
    <t>Bonaparte Brie</t>
  </si>
  <si>
    <t>USD / EUR</t>
  </si>
  <si>
    <t>150BonPWhl1001</t>
  </si>
  <si>
    <t>Bonaparte Pepper</t>
  </si>
  <si>
    <t>150BonCWh1001</t>
  </si>
  <si>
    <t>Bonaparte Chili</t>
  </si>
  <si>
    <t>150SwBrSq1001</t>
  </si>
  <si>
    <t>Brie (Sandwich Brie)</t>
  </si>
  <si>
    <t>150LRK1/2Wd1001</t>
  </si>
  <si>
    <t>Landrauch Käse</t>
  </si>
  <si>
    <t>150RsSq1001</t>
  </si>
  <si>
    <t>Swiss Rauchkäse / Raclette smoked Square [Raclette Rauch]</t>
  </si>
  <si>
    <t>150RNlSq1001</t>
  </si>
  <si>
    <r>
      <t xml:space="preserve">Raclette Swiss (with label) </t>
    </r>
    <r>
      <rPr>
        <sz val="10"/>
        <color theme="1"/>
        <rFont val="Calibri"/>
        <family val="2"/>
        <scheme val="minor"/>
      </rPr>
      <t>(mit Rinde)</t>
    </r>
  </si>
  <si>
    <t>150RNfSq1001</t>
  </si>
  <si>
    <r>
      <t>Raclette Foil</t>
    </r>
    <r>
      <rPr>
        <sz val="10"/>
        <color theme="1"/>
        <rFont val="Calibri"/>
        <family val="2"/>
        <scheme val="minor"/>
      </rPr>
      <t xml:space="preserve"> (ohne Rinde)</t>
    </r>
  </si>
  <si>
    <t>150RTSq1001</t>
  </si>
  <si>
    <t>Trüffelkäse [Raclette Trüffel]</t>
  </si>
  <si>
    <t>150TGRKWh1001</t>
  </si>
  <si>
    <t>Thurgau Crème Cheese [Thurgauer Rahmkäse]</t>
  </si>
  <si>
    <t>150TGWh1001</t>
  </si>
  <si>
    <t>Thurgau Cheese [Echter Thurgauer]</t>
  </si>
  <si>
    <t>150TLGWh1001</t>
  </si>
  <si>
    <t>Tilsiter Green</t>
  </si>
  <si>
    <t>150TLBWh1001</t>
  </si>
  <si>
    <t>Tilsiter Light</t>
  </si>
  <si>
    <t>150HiProCB1001</t>
  </si>
  <si>
    <t>Hi Pro Cheese Bloc</t>
  </si>
  <si>
    <t>100CDEb1001</t>
  </si>
  <si>
    <t>Cheddar</t>
  </si>
  <si>
    <t>100EMAOPWh1001</t>
  </si>
  <si>
    <t>Emmentaler AOP</t>
  </si>
  <si>
    <t>90GS8Wd1001</t>
  </si>
  <si>
    <t>Käserei Neudorf</t>
  </si>
  <si>
    <t>Grande Swiss</t>
  </si>
  <si>
    <t>100GBwEb1001</t>
  </si>
  <si>
    <t>Grünberger EB (washed) EB = Eurobloc / Bloc</t>
  </si>
  <si>
    <t>100GBWh1001</t>
  </si>
  <si>
    <t>Grünberger Wheel / Alpenwunder Wheel</t>
  </si>
  <si>
    <t>100GBRWh1001</t>
  </si>
  <si>
    <t>Grünberger Réserve / Alpenwunder Extra Wheel</t>
  </si>
  <si>
    <t>100GBREb1001</t>
  </si>
  <si>
    <t>Grünberger Réserve / Alpenwunder Extra Eurobloc 10M (washed &amp; vacuumed)</t>
  </si>
  <si>
    <t>100THWh1001</t>
  </si>
  <si>
    <t>Thurmesan Wheel</t>
  </si>
  <si>
    <t>100GBHSCEb1001</t>
  </si>
  <si>
    <t>Hard Swiss Cheese (=Grünberger EB washed)</t>
  </si>
  <si>
    <t>100MS90b1001</t>
  </si>
  <si>
    <t>Maasdam</t>
  </si>
  <si>
    <t>100MSL90b1001</t>
  </si>
  <si>
    <t>Maasdam light</t>
  </si>
  <si>
    <t>100SS90b1001</t>
  </si>
  <si>
    <t>Switzerland Swiss (=Maasdam)</t>
  </si>
  <si>
    <t>-</t>
  </si>
  <si>
    <t>Günti verrechnet die Käse direkt (0 Marge für uns)</t>
  </si>
  <si>
    <t>20AW12Wh1043</t>
  </si>
  <si>
    <t>Alpenwunder 12M Wheel (no label)</t>
  </si>
  <si>
    <t>100AW12Wh1043</t>
  </si>
  <si>
    <t>Roter Teufel Extra</t>
  </si>
  <si>
    <t>Potz Blitz Wheel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</si>
</sst>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 &quot;CHF&quot;\ * #,##0.00_ ;_ &quot;CHF&quot;\ * \-#,##0.00_ ;_ &quot;CHF&quot;\ * &quot;-&quot;??_ ;_ @_ "/>
    <numFmt numFmtId="164" formatCode="&quot;CHF&quot;\ #,##0.00"/>
    <numFmt numFmtId="165" formatCode="[$EUR]\ #,##0.00"/>
    <numFmt numFmtId="167" formatCode="[$SEK]\ #,##0.00"/>
    <numFmt numFmtId="168" formatCode="0.0%"/>
    <numFmt numFmtId="170" formatCode="[$CHF]\ #,##0.00"/>
    <numFmt numFmtId="171" formatCode="_ [$EUR]\ * #,##0.00_ ;_ [$EUR]\ * \-#,##0.00_ ;_ [$EUR]\ * &quot;-&quot;??_ ;_ @_ "/>
    <numFmt numFmtId="172" formatCode="[$EUR]\ #,##0.00;[$EUR]\ \-#,##0.00"/>
    <numFmt numFmtId="173" formatCode="_ [$SEK]\ * #,##0.00_ ;_ [$SEK]\ * \-#,##0.00_ ;_ [$SEK]\ * &quot;-&quot;??_ ;_ @_ "/>
    <numFmt numFmtId="174" formatCode="_ [$EUR]\ * #,##0.000_ ;_ [$EUR]\ * \-#,##0.000_ ;_ [$EUR]\ * &quot;-&quot;???_ ;_ @_ "/>
    <numFmt numFmtId="175" formatCode="[$USD]\ #,##0.00"/>
    <numFmt numFmtId="176" formatCode="[$CHF]\ #,##0.00;[$CHF]\ \-#,##0.00"/>
    <numFmt numFmtId="177" formatCode="0.0"/>
    <numFmt numFmtId="178" formatCode="#,##0.00\ [$EUR]"/>
    <numFmt numFmtId="179" formatCode="_ [$€-2]\ * #,##0.00_ ;_ [$€-2]\ * \-#,##0.00_ ;_ [$€-2]\ * &quot;-&quot;??_ ;_ @_ 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Sans"/>
    </font>
    <font>
      <b/>
      <sz val="9"/>
      <color rgb="FF000000"/>
      <name val="Sans"/>
    </font>
    <font>
      <b/>
      <sz val="8"/>
      <color indexed="8"/>
      <name val="Sans"/>
    </font>
    <font>
      <b/>
      <sz val="10"/>
      <color indexed="8"/>
      <name val="Sans"/>
    </font>
    <font>
      <b/>
      <sz val="9"/>
      <color indexed="8"/>
      <name val="Sans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sz val="11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Arial"/>
      <family val="2"/>
    </font>
    <font>
      <sz val="9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D5B3C6"/>
        <bgColor indexed="64"/>
      </patternFill>
    </fill>
    <fill>
      <patternFill patternType="solid">
        <fgColor rgb="FFFFAB65"/>
        <bgColor indexed="64"/>
      </patternFill>
    </fill>
    <fill>
      <patternFill patternType="solid">
        <fgColor rgb="FF8C91FE"/>
        <bgColor indexed="64"/>
      </patternFill>
    </fill>
    <fill>
      <patternFill patternType="solid">
        <fgColor rgb="FFBEFF7D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1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/>
    </xf>
    <xf numFmtId="0" fontId="7" fillId="5" borderId="1" xfId="0" applyFont="1" applyFill="1" applyBorder="1"/>
    <xf numFmtId="0" fontId="0" fillId="0" borderId="1" xfId="0" applyBorder="1"/>
    <xf numFmtId="164" fontId="0" fillId="5" borderId="1" xfId="0" applyNumberFormat="1" applyFill="1" applyBorder="1"/>
    <xf numFmtId="2" fontId="8" fillId="5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/>
    <xf numFmtId="164" fontId="0" fillId="6" borderId="1" xfId="0" applyNumberFormat="1" applyFill="1" applyBorder="1"/>
    <xf numFmtId="2" fontId="8" fillId="6" borderId="1" xfId="0" applyNumberFormat="1" applyFont="1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/>
    <xf numFmtId="164" fontId="0" fillId="7" borderId="1" xfId="0" applyNumberFormat="1" applyFill="1" applyBorder="1"/>
    <xf numFmtId="2" fontId="8" fillId="7" borderId="1" xfId="0" applyNumberFormat="1" applyFont="1" applyFill="1" applyBorder="1" applyAlignment="1">
      <alignment horizontal="center"/>
    </xf>
    <xf numFmtId="9" fontId="8" fillId="7" borderId="1" xfId="1" applyFont="1" applyFill="1" applyBorder="1" applyAlignment="1">
      <alignment horizontal="center"/>
    </xf>
    <xf numFmtId="164" fontId="0" fillId="0" borderId="1" xfId="0" applyNumberFormat="1" applyBorder="1"/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7" fillId="8" borderId="1" xfId="0" applyFont="1" applyFill="1" applyBorder="1"/>
    <xf numFmtId="164" fontId="0" fillId="8" borderId="1" xfId="0" applyNumberFormat="1" applyFill="1" applyBorder="1"/>
    <xf numFmtId="2" fontId="8" fillId="8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/>
    <xf numFmtId="164" fontId="0" fillId="4" borderId="1" xfId="0" applyNumberFormat="1" applyFill="1" applyBorder="1"/>
    <xf numFmtId="2" fontId="8" fillId="4" borderId="1" xfId="0" applyNumberFormat="1" applyFon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 vertical="center"/>
    </xf>
    <xf numFmtId="0" fontId="7" fillId="10" borderId="1" xfId="0" applyFont="1" applyFill="1" applyBorder="1"/>
    <xf numFmtId="164" fontId="0" fillId="10" borderId="1" xfId="0" applyNumberFormat="1" applyFill="1" applyBorder="1"/>
    <xf numFmtId="2" fontId="8" fillId="10" borderId="1" xfId="0" applyNumberFormat="1" applyFont="1" applyFill="1" applyBorder="1" applyAlignment="1">
      <alignment horizontal="center"/>
    </xf>
    <xf numFmtId="0" fontId="0" fillId="11" borderId="1" xfId="0" applyFill="1" applyBorder="1"/>
    <xf numFmtId="0" fontId="0" fillId="11" borderId="1" xfId="0" applyFill="1" applyBorder="1" applyAlignment="1">
      <alignment horizontal="center" vertical="center"/>
    </xf>
    <xf numFmtId="0" fontId="7" fillId="11" borderId="1" xfId="0" applyFont="1" applyFill="1" applyBorder="1"/>
    <xf numFmtId="164" fontId="0" fillId="11" borderId="1" xfId="0" applyNumberFormat="1" applyFill="1" applyBorder="1"/>
    <xf numFmtId="2" fontId="8" fillId="12" borderId="1" xfId="0" applyNumberFormat="1" applyFont="1" applyFill="1" applyBorder="1" applyAlignment="1">
      <alignment horizontal="center"/>
    </xf>
    <xf numFmtId="0" fontId="0" fillId="11" borderId="3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14" borderId="1" xfId="0" applyFill="1" applyBorder="1"/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7" fillId="14" borderId="1" xfId="0" applyFont="1" applyFill="1" applyBorder="1"/>
    <xf numFmtId="2" fontId="8" fillId="15" borderId="1" xfId="0" applyNumberFormat="1" applyFont="1" applyFill="1" applyBorder="1" applyAlignment="1">
      <alignment horizontal="center"/>
    </xf>
    <xf numFmtId="164" fontId="0" fillId="14" borderId="1" xfId="0" applyNumberFormat="1" applyFill="1" applyBorder="1"/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/>
    </xf>
    <xf numFmtId="0" fontId="7" fillId="16" borderId="1" xfId="0" applyFont="1" applyFill="1" applyBorder="1"/>
    <xf numFmtId="0" fontId="0" fillId="11" borderId="1" xfId="0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7" fillId="17" borderId="1" xfId="0" applyFont="1" applyFill="1" applyBorder="1"/>
    <xf numFmtId="44" fontId="0" fillId="17" borderId="1" xfId="0" applyNumberFormat="1" applyFill="1" applyBorder="1"/>
    <xf numFmtId="44" fontId="8" fillId="17" borderId="1" xfId="0" applyNumberFormat="1" applyFont="1" applyFill="1" applyBorder="1" applyAlignment="1">
      <alignment horizontal="center"/>
    </xf>
    <xf numFmtId="0" fontId="0" fillId="18" borderId="1" xfId="0" applyFill="1" applyBorder="1"/>
    <xf numFmtId="44" fontId="0" fillId="18" borderId="1" xfId="0" applyNumberFormat="1" applyFill="1" applyBorder="1"/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7" fillId="18" borderId="1" xfId="0" applyFont="1" applyFill="1" applyBorder="1"/>
    <xf numFmtId="0" fontId="0" fillId="18" borderId="3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/>
    </xf>
    <xf numFmtId="0" fontId="7" fillId="18" borderId="3" xfId="0" applyFont="1" applyFill="1" applyBorder="1"/>
    <xf numFmtId="9" fontId="8" fillId="5" borderId="1" xfId="1" applyFont="1" applyFill="1" applyBorder="1" applyAlignment="1">
      <alignment horizontal="center"/>
    </xf>
    <xf numFmtId="0" fontId="12" fillId="9" borderId="0" xfId="0" applyFont="1" applyFill="1"/>
    <xf numFmtId="9" fontId="8" fillId="4" borderId="1" xfId="1" applyFont="1" applyFill="1" applyBorder="1" applyAlignment="1">
      <alignment horizontal="center"/>
    </xf>
    <xf numFmtId="9" fontId="8" fillId="10" borderId="1" xfId="1" applyFont="1" applyFill="1" applyBorder="1" applyAlignment="1">
      <alignment horizontal="center"/>
    </xf>
    <xf numFmtId="9" fontId="8" fillId="12" borderId="1" xfId="1" applyFont="1" applyFill="1" applyBorder="1" applyAlignment="1">
      <alignment horizontal="center"/>
    </xf>
    <xf numFmtId="9" fontId="8" fillId="5" borderId="4" xfId="1" applyFont="1" applyFill="1" applyBorder="1" applyAlignment="1">
      <alignment horizontal="center"/>
    </xf>
    <xf numFmtId="9" fontId="8" fillId="15" borderId="1" xfId="1" applyFont="1" applyFill="1" applyBorder="1" applyAlignment="1">
      <alignment horizontal="center"/>
    </xf>
    <xf numFmtId="9" fontId="8" fillId="17" borderId="1" xfId="1" applyFont="1" applyFill="1" applyBorder="1" applyAlignment="1">
      <alignment horizontal="center"/>
    </xf>
    <xf numFmtId="9" fontId="8" fillId="18" borderId="1" xfId="1" applyFont="1" applyFill="1" applyBorder="1" applyAlignment="1">
      <alignment horizontal="center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/>
    </xf>
    <xf numFmtId="0" fontId="7" fillId="19" borderId="1" xfId="0" applyFont="1" applyFill="1" applyBorder="1"/>
    <xf numFmtId="44" fontId="0" fillId="19" borderId="1" xfId="0" applyNumberFormat="1" applyFill="1" applyBorder="1"/>
    <xf numFmtId="44" fontId="0" fillId="16" borderId="1" xfId="0" applyNumberFormat="1" applyFill="1" applyBorder="1"/>
    <xf numFmtId="9" fontId="0" fillId="19" borderId="1" xfId="1" applyFont="1" applyFill="1" applyBorder="1" applyAlignment="1">
      <alignment horizontal="center"/>
    </xf>
    <xf numFmtId="9" fontId="0" fillId="16" borderId="1" xfId="1" applyFont="1" applyFill="1" applyBorder="1" applyAlignment="1">
      <alignment horizontal="center"/>
    </xf>
    <xf numFmtId="168" fontId="8" fillId="10" borderId="1" xfId="1" applyNumberFormat="1" applyFont="1" applyFill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/>
    </xf>
    <xf numFmtId="0" fontId="7" fillId="20" borderId="1" xfId="0" applyFont="1" applyFill="1" applyBorder="1"/>
    <xf numFmtId="44" fontId="0" fillId="20" borderId="1" xfId="0" applyNumberFormat="1" applyFill="1" applyBorder="1"/>
    <xf numFmtId="9" fontId="0" fillId="20" borderId="1" xfId="1" applyFont="1" applyFill="1" applyBorder="1" applyAlignment="1">
      <alignment horizontal="center"/>
    </xf>
    <xf numFmtId="44" fontId="0" fillId="21" borderId="1" xfId="0" applyNumberFormat="1" applyFill="1" applyBorder="1"/>
    <xf numFmtId="9" fontId="0" fillId="21" borderId="1" xfId="1" applyFont="1" applyFill="1" applyBorder="1" applyAlignment="1">
      <alignment horizontal="center"/>
    </xf>
    <xf numFmtId="0" fontId="0" fillId="21" borderId="1" xfId="0" applyFill="1" applyBorder="1"/>
    <xf numFmtId="0" fontId="0" fillId="21" borderId="1" xfId="0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7" fillId="21" borderId="1" xfId="0" applyFont="1" applyFill="1" applyBorder="1"/>
    <xf numFmtId="0" fontId="0" fillId="22" borderId="1" xfId="0" applyFill="1" applyBorder="1"/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/>
    </xf>
    <xf numFmtId="0" fontId="7" fillId="22" borderId="1" xfId="0" applyFont="1" applyFill="1" applyBorder="1"/>
    <xf numFmtId="44" fontId="0" fillId="22" borderId="1" xfId="0" applyNumberFormat="1" applyFill="1" applyBorder="1"/>
    <xf numFmtId="44" fontId="0" fillId="22" borderId="1" xfId="1" applyNumberFormat="1" applyFont="1" applyFill="1" applyBorder="1" applyAlignment="1">
      <alignment horizontal="center"/>
    </xf>
    <xf numFmtId="9" fontId="0" fillId="22" borderId="1" xfId="1" applyFont="1" applyFill="1" applyBorder="1" applyAlignment="1">
      <alignment horizontal="center"/>
    </xf>
    <xf numFmtId="0" fontId="0" fillId="23" borderId="1" xfId="0" applyFill="1" applyBorder="1"/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/>
    </xf>
    <xf numFmtId="0" fontId="7" fillId="23" borderId="1" xfId="0" applyFont="1" applyFill="1" applyBorder="1"/>
    <xf numFmtId="44" fontId="0" fillId="23" borderId="1" xfId="0" applyNumberFormat="1" applyFill="1" applyBorder="1"/>
    <xf numFmtId="9" fontId="0" fillId="23" borderId="1" xfId="1" applyFont="1" applyFill="1" applyBorder="1" applyAlignment="1">
      <alignment horizontal="center"/>
    </xf>
    <xf numFmtId="164" fontId="0" fillId="12" borderId="1" xfId="0" applyNumberFormat="1" applyFill="1" applyBorder="1"/>
    <xf numFmtId="44" fontId="0" fillId="0" borderId="1" xfId="0" applyNumberFormat="1" applyBorder="1"/>
    <xf numFmtId="0" fontId="0" fillId="24" borderId="1" xfId="0" applyFill="1" applyBorder="1"/>
    <xf numFmtId="0" fontId="0" fillId="24" borderId="1" xfId="0" applyFill="1" applyBorder="1" applyAlignment="1">
      <alignment horizontal="center" vertical="center"/>
    </xf>
    <xf numFmtId="0" fontId="0" fillId="24" borderId="1" xfId="0" applyFill="1" applyBorder="1" applyAlignment="1">
      <alignment horizontal="center"/>
    </xf>
    <xf numFmtId="0" fontId="7" fillId="24" borderId="1" xfId="0" applyFont="1" applyFill="1" applyBorder="1"/>
    <xf numFmtId="44" fontId="0" fillId="24" borderId="1" xfId="0" applyNumberFormat="1" applyFill="1" applyBorder="1"/>
    <xf numFmtId="44" fontId="0" fillId="24" borderId="1" xfId="1" applyNumberFormat="1" applyFont="1" applyFill="1" applyBorder="1" applyAlignment="1">
      <alignment horizontal="center"/>
    </xf>
    <xf numFmtId="9" fontId="0" fillId="24" borderId="1" xfId="1" applyFont="1" applyFill="1" applyBorder="1" applyAlignment="1">
      <alignment horizontal="center"/>
    </xf>
    <xf numFmtId="164" fontId="15" fillId="4" borderId="1" xfId="0" applyNumberFormat="1" applyFont="1" applyFill="1" applyBorder="1"/>
    <xf numFmtId="44" fontId="0" fillId="24" borderId="3" xfId="0" applyNumberFormat="1" applyFill="1" applyBorder="1"/>
    <xf numFmtId="164" fontId="15" fillId="7" borderId="1" xfId="0" applyNumberFormat="1" applyFont="1" applyFill="1" applyBorder="1"/>
    <xf numFmtId="44" fontId="0" fillId="25" borderId="1" xfId="1" applyNumberFormat="1" applyFont="1" applyFill="1" applyBorder="1" applyAlignment="1">
      <alignment horizontal="center"/>
    </xf>
    <xf numFmtId="9" fontId="0" fillId="25" borderId="1" xfId="1" applyFont="1" applyFill="1" applyBorder="1" applyAlignment="1">
      <alignment horizontal="center"/>
    </xf>
    <xf numFmtId="44" fontId="0" fillId="25" borderId="1" xfId="0" applyNumberFormat="1" applyFill="1" applyBorder="1"/>
    <xf numFmtId="0" fontId="0" fillId="25" borderId="1" xfId="0" applyFill="1" applyBorder="1"/>
    <xf numFmtId="0" fontId="0" fillId="25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7" fillId="25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9" fontId="8" fillId="8" borderId="1" xfId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/>
    </xf>
    <xf numFmtId="9" fontId="11" fillId="5" borderId="1" xfId="1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 vertical="center" wrapText="1"/>
    </xf>
    <xf numFmtId="0" fontId="3" fillId="26" borderId="1" xfId="0" applyFont="1" applyFill="1" applyBorder="1" applyAlignment="1">
      <alignment horizontal="center" vertical="center"/>
    </xf>
    <xf numFmtId="2" fontId="8" fillId="26" borderId="1" xfId="1" applyNumberFormat="1" applyFont="1" applyFill="1" applyBorder="1" applyAlignment="1">
      <alignment horizontal="center"/>
    </xf>
    <xf numFmtId="9" fontId="8" fillId="26" borderId="1" xfId="1" applyFon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164" fontId="0" fillId="0" borderId="0" xfId="0" applyNumberFormat="1"/>
    <xf numFmtId="164" fontId="0" fillId="26" borderId="1" xfId="1" applyNumberFormat="1" applyFont="1" applyFill="1" applyBorder="1" applyAlignment="1">
      <alignment horizontal="center"/>
    </xf>
    <xf numFmtId="0" fontId="0" fillId="28" borderId="1" xfId="0" applyFill="1" applyBorder="1"/>
    <xf numFmtId="0" fontId="0" fillId="28" borderId="1" xfId="0" applyFill="1" applyBorder="1" applyAlignment="1">
      <alignment horizontal="center" vertical="center"/>
    </xf>
    <xf numFmtId="0" fontId="0" fillId="28" borderId="1" xfId="0" applyFill="1" applyBorder="1" applyAlignment="1">
      <alignment horizontal="center"/>
    </xf>
    <xf numFmtId="0" fontId="7" fillId="28" borderId="1" xfId="0" applyFont="1" applyFill="1" applyBorder="1"/>
    <xf numFmtId="44" fontId="0" fillId="28" borderId="1" xfId="0" applyNumberFormat="1" applyFill="1" applyBorder="1"/>
    <xf numFmtId="9" fontId="8" fillId="28" borderId="1" xfId="1" applyFont="1" applyFill="1" applyBorder="1" applyAlignment="1">
      <alignment horizontal="center"/>
    </xf>
    <xf numFmtId="0" fontId="0" fillId="0" borderId="4" xfId="0" applyBorder="1"/>
    <xf numFmtId="9" fontId="0" fillId="22" borderId="3" xfId="1" applyFont="1" applyFill="1" applyBorder="1" applyAlignment="1">
      <alignment horizontal="center"/>
    </xf>
    <xf numFmtId="0" fontId="0" fillId="27" borderId="1" xfId="0" applyFill="1" applyBorder="1"/>
    <xf numFmtId="0" fontId="0" fillId="27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/>
    </xf>
    <xf numFmtId="0" fontId="7" fillId="27" borderId="1" xfId="0" applyFont="1" applyFill="1" applyBorder="1"/>
    <xf numFmtId="44" fontId="0" fillId="27" borderId="1" xfId="0" applyNumberFormat="1" applyFill="1" applyBorder="1"/>
    <xf numFmtId="0" fontId="9" fillId="27" borderId="1" xfId="0" applyFont="1" applyFill="1" applyBorder="1" applyAlignment="1">
      <alignment horizontal="center"/>
    </xf>
    <xf numFmtId="9" fontId="0" fillId="27" borderId="1" xfId="1" applyFont="1" applyFill="1" applyBorder="1" applyAlignment="1">
      <alignment horizontal="center"/>
    </xf>
    <xf numFmtId="0" fontId="0" fillId="4" borderId="8" xfId="0" applyFill="1" applyBorder="1"/>
    <xf numFmtId="0" fontId="0" fillId="4" borderId="1" xfId="0" applyFill="1" applyBorder="1" applyAlignment="1">
      <alignment horizontal="center"/>
    </xf>
    <xf numFmtId="0" fontId="11" fillId="4" borderId="1" xfId="0" applyFont="1" applyFill="1" applyBorder="1"/>
    <xf numFmtId="44" fontId="0" fillId="4" borderId="1" xfId="0" applyNumberFormat="1" applyFill="1" applyBorder="1"/>
    <xf numFmtId="9" fontId="0" fillId="4" borderId="1" xfId="1" applyFont="1" applyFill="1" applyBorder="1"/>
    <xf numFmtId="9" fontId="8" fillId="6" borderId="1" xfId="0" applyNumberFormat="1" applyFont="1" applyFill="1" applyBorder="1" applyAlignment="1">
      <alignment horizontal="center"/>
    </xf>
    <xf numFmtId="9" fontId="8" fillId="8" borderId="1" xfId="0" applyNumberFormat="1" applyFont="1" applyFill="1" applyBorder="1" applyAlignment="1">
      <alignment horizontal="center"/>
    </xf>
    <xf numFmtId="164" fontId="0" fillId="12" borderId="3" xfId="0" applyNumberFormat="1" applyFill="1" applyBorder="1"/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7" fillId="11" borderId="0" xfId="0" applyFont="1" applyFill="1"/>
    <xf numFmtId="44" fontId="15" fillId="18" borderId="1" xfId="0" applyNumberFormat="1" applyFont="1" applyFill="1" applyBorder="1"/>
    <xf numFmtId="9" fontId="8" fillId="13" borderId="1" xfId="1" applyFont="1" applyFill="1" applyBorder="1" applyAlignment="1">
      <alignment horizontal="center"/>
    </xf>
    <xf numFmtId="170" fontId="22" fillId="8" borderId="1" xfId="0" applyNumberFormat="1" applyFont="1" applyFill="1" applyBorder="1"/>
    <xf numFmtId="2" fontId="8" fillId="20" borderId="1" xfId="0" applyNumberFormat="1" applyFont="1" applyFill="1" applyBorder="1" applyAlignment="1">
      <alignment horizontal="center" vertical="center"/>
    </xf>
    <xf numFmtId="2" fontId="8" fillId="21" borderId="1" xfId="0" applyNumberFormat="1" applyFont="1" applyFill="1" applyBorder="1" applyAlignment="1">
      <alignment horizontal="center" vertical="center"/>
    </xf>
    <xf numFmtId="2" fontId="8" fillId="23" borderId="1" xfId="0" applyNumberFormat="1" applyFont="1" applyFill="1" applyBorder="1" applyAlignment="1">
      <alignment horizontal="center" vertical="center"/>
    </xf>
    <xf numFmtId="2" fontId="8" fillId="22" borderId="1" xfId="0" applyNumberFormat="1" applyFont="1" applyFill="1" applyBorder="1" applyAlignment="1">
      <alignment horizontal="center" vertical="center"/>
    </xf>
    <xf numFmtId="2" fontId="8" fillId="24" borderId="1" xfId="0" applyNumberFormat="1" applyFont="1" applyFill="1" applyBorder="1" applyAlignment="1">
      <alignment horizontal="center" vertical="center"/>
    </xf>
    <xf numFmtId="0" fontId="8" fillId="28" borderId="1" xfId="0" applyFont="1" applyFill="1" applyBorder="1" applyAlignment="1">
      <alignment horizontal="center" vertical="center"/>
    </xf>
    <xf numFmtId="0" fontId="8" fillId="25" borderId="1" xfId="0" applyFont="1" applyFill="1" applyBorder="1" applyAlignment="1">
      <alignment horizontal="center" vertical="center"/>
    </xf>
    <xf numFmtId="0" fontId="8" fillId="27" borderId="1" xfId="0" applyFont="1" applyFill="1" applyBorder="1" applyAlignment="1">
      <alignment horizontal="center" vertical="center"/>
    </xf>
    <xf numFmtId="2" fontId="8" fillId="4" borderId="1" xfId="0" applyNumberFormat="1" applyFont="1" applyFill="1" applyBorder="1" applyAlignment="1">
      <alignment horizontal="center" vertical="center"/>
    </xf>
    <xf numFmtId="44" fontId="15" fillId="27" borderId="1" xfId="0" applyNumberFormat="1" applyFont="1" applyFill="1" applyBorder="1"/>
    <xf numFmtId="44" fontId="15" fillId="16" borderId="1" xfId="0" applyNumberFormat="1" applyFont="1" applyFill="1" applyBorder="1"/>
    <xf numFmtId="0" fontId="22" fillId="0" borderId="1" xfId="0" applyFont="1" applyBorder="1"/>
    <xf numFmtId="164" fontId="22" fillId="5" borderId="1" xfId="0" applyNumberFormat="1" applyFont="1" applyFill="1" applyBorder="1"/>
    <xf numFmtId="44" fontId="0" fillId="21" borderId="1" xfId="1" applyNumberFormat="1" applyFont="1" applyFill="1" applyBorder="1" applyAlignment="1">
      <alignment horizontal="center"/>
    </xf>
    <xf numFmtId="44" fontId="8" fillId="27" borderId="1" xfId="0" applyNumberFormat="1" applyFont="1" applyFill="1" applyBorder="1" applyAlignment="1">
      <alignment horizontal="center" vertical="center"/>
    </xf>
    <xf numFmtId="44" fontId="0" fillId="4" borderId="3" xfId="0" applyNumberFormat="1" applyFill="1" applyBorder="1"/>
    <xf numFmtId="44" fontId="0" fillId="4" borderId="7" xfId="0" applyNumberFormat="1" applyFill="1" applyBorder="1"/>
    <xf numFmtId="44" fontId="22" fillId="19" borderId="1" xfId="0" applyNumberFormat="1" applyFont="1" applyFill="1" applyBorder="1"/>
    <xf numFmtId="164" fontId="11" fillId="4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67" fontId="0" fillId="11" borderId="3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44" fontId="0" fillId="17" borderId="1" xfId="0" applyNumberFormat="1" applyFill="1" applyBorder="1" applyAlignment="1">
      <alignment horizontal="center" vertical="center"/>
    </xf>
    <xf numFmtId="44" fontId="0" fillId="18" borderId="1" xfId="0" applyNumberFormat="1" applyFill="1" applyBorder="1" applyAlignment="1">
      <alignment horizontal="center" vertical="center"/>
    </xf>
    <xf numFmtId="44" fontId="0" fillId="19" borderId="1" xfId="0" applyNumberFormat="1" applyFill="1" applyBorder="1" applyAlignment="1">
      <alignment horizontal="center" vertical="center"/>
    </xf>
    <xf numFmtId="44" fontId="0" fillId="16" borderId="1" xfId="0" applyNumberFormat="1" applyFill="1" applyBorder="1" applyAlignment="1">
      <alignment horizontal="center" vertical="center"/>
    </xf>
    <xf numFmtId="44" fontId="0" fillId="20" borderId="1" xfId="0" applyNumberFormat="1" applyFill="1" applyBorder="1" applyAlignment="1">
      <alignment horizontal="center" vertical="center"/>
    </xf>
    <xf numFmtId="44" fontId="0" fillId="21" borderId="1" xfId="0" applyNumberFormat="1" applyFill="1" applyBorder="1" applyAlignment="1">
      <alignment horizontal="center" vertical="center"/>
    </xf>
    <xf numFmtId="44" fontId="0" fillId="22" borderId="1" xfId="0" applyNumberFormat="1" applyFill="1" applyBorder="1" applyAlignment="1">
      <alignment horizontal="center" vertical="center"/>
    </xf>
    <xf numFmtId="44" fontId="0" fillId="24" borderId="1" xfId="0" applyNumberFormat="1" applyFill="1" applyBorder="1" applyAlignment="1">
      <alignment horizontal="center" vertical="center"/>
    </xf>
    <xf numFmtId="44" fontId="0" fillId="25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0" fillId="11" borderId="3" xfId="0" applyFill="1" applyBorder="1" applyAlignment="1">
      <alignment horizontal="center" vertical="center"/>
    </xf>
    <xf numFmtId="0" fontId="0" fillId="14" borderId="4" xfId="0" applyFill="1" applyBorder="1"/>
    <xf numFmtId="164" fontId="15" fillId="5" borderId="1" xfId="0" applyNumberFormat="1" applyFont="1" applyFill="1" applyBorder="1"/>
    <xf numFmtId="0" fontId="15" fillId="0" borderId="1" xfId="0" applyFont="1" applyBorder="1"/>
    <xf numFmtId="0" fontId="15" fillId="22" borderId="1" xfId="0" applyFont="1" applyFill="1" applyBorder="1"/>
    <xf numFmtId="44" fontId="15" fillId="22" borderId="1" xfId="0" applyNumberFormat="1" applyFont="1" applyFill="1" applyBorder="1"/>
    <xf numFmtId="0" fontId="2" fillId="0" borderId="4" xfId="0" applyFont="1" applyBorder="1" applyAlignment="1">
      <alignment horizontal="center" vertical="center"/>
    </xf>
    <xf numFmtId="0" fontId="0" fillId="4" borderId="4" xfId="0" applyFill="1" applyBorder="1"/>
    <xf numFmtId="0" fontId="0" fillId="21" borderId="4" xfId="0" applyFill="1" applyBorder="1"/>
    <xf numFmtId="0" fontId="0" fillId="13" borderId="1" xfId="0" applyFill="1" applyBorder="1"/>
    <xf numFmtId="0" fontId="24" fillId="6" borderId="1" xfId="0" applyFont="1" applyFill="1" applyBorder="1"/>
    <xf numFmtId="0" fontId="24" fillId="7" borderId="1" xfId="0" applyFont="1" applyFill="1" applyBorder="1"/>
    <xf numFmtId="0" fontId="24" fillId="8" borderId="1" xfId="0" applyFont="1" applyFill="1" applyBorder="1"/>
    <xf numFmtId="0" fontId="24" fillId="4" borderId="1" xfId="0" applyFont="1" applyFill="1" applyBorder="1"/>
    <xf numFmtId="0" fontId="24" fillId="10" borderId="1" xfId="0" applyFont="1" applyFill="1" applyBorder="1"/>
    <xf numFmtId="0" fontId="24" fillId="11" borderId="4" xfId="0" applyFont="1" applyFill="1" applyBorder="1"/>
    <xf numFmtId="0" fontId="24" fillId="5" borderId="1" xfId="0" applyFont="1" applyFill="1" applyBorder="1"/>
    <xf numFmtId="0" fontId="24" fillId="14" borderId="1" xfId="0" applyFont="1" applyFill="1" applyBorder="1"/>
    <xf numFmtId="0" fontId="24" fillId="17" borderId="1" xfId="0" applyFont="1" applyFill="1" applyBorder="1"/>
    <xf numFmtId="0" fontId="24" fillId="18" borderId="4" xfId="0" applyFont="1" applyFill="1" applyBorder="1"/>
    <xf numFmtId="0" fontId="24" fillId="19" borderId="1" xfId="0" applyFont="1" applyFill="1" applyBorder="1"/>
    <xf numFmtId="0" fontId="24" fillId="16" borderId="1" xfId="0" applyFont="1" applyFill="1" applyBorder="1"/>
    <xf numFmtId="0" fontId="24" fillId="20" borderId="1" xfId="0" applyFont="1" applyFill="1" applyBorder="1"/>
    <xf numFmtId="0" fontId="24" fillId="21" borderId="1" xfId="0" applyFont="1" applyFill="1" applyBorder="1"/>
    <xf numFmtId="0" fontId="24" fillId="23" borderId="1" xfId="0" applyFont="1" applyFill="1" applyBorder="1"/>
    <xf numFmtId="0" fontId="24" fillId="22" borderId="4" xfId="0" applyFont="1" applyFill="1" applyBorder="1"/>
    <xf numFmtId="0" fontId="24" fillId="24" borderId="4" xfId="0" applyFont="1" applyFill="1" applyBorder="1"/>
    <xf numFmtId="0" fontId="24" fillId="25" borderId="1" xfId="0" applyFont="1" applyFill="1" applyBorder="1"/>
    <xf numFmtId="0" fontId="24" fillId="28" borderId="1" xfId="0" applyFont="1" applyFill="1" applyBorder="1"/>
    <xf numFmtId="0" fontId="24" fillId="27" borderId="1" xfId="0" applyFont="1" applyFill="1" applyBorder="1"/>
    <xf numFmtId="9" fontId="8" fillId="12" borderId="7" xfId="1" applyFont="1" applyFill="1" applyBorder="1" applyAlignment="1">
      <alignment horizontal="center"/>
    </xf>
    <xf numFmtId="0" fontId="7" fillId="11" borderId="3" xfId="0" applyFont="1" applyFill="1" applyBorder="1"/>
    <xf numFmtId="0" fontId="24" fillId="11" borderId="5" xfId="0" applyFont="1" applyFill="1" applyBorder="1"/>
    <xf numFmtId="2" fontId="8" fillId="12" borderId="3" xfId="0" applyNumberFormat="1" applyFont="1" applyFill="1" applyBorder="1" applyAlignment="1">
      <alignment horizontal="center"/>
    </xf>
    <xf numFmtId="9" fontId="8" fillId="12" borderId="3" xfId="1" applyFont="1" applyFill="1" applyBorder="1" applyAlignment="1">
      <alignment horizontal="center"/>
    </xf>
    <xf numFmtId="0" fontId="0" fillId="13" borderId="2" xfId="0" applyFill="1" applyBorder="1"/>
    <xf numFmtId="0" fontId="0" fillId="13" borderId="2" xfId="0" applyFill="1" applyBorder="1" applyAlignment="1">
      <alignment horizontal="center" vertical="center"/>
    </xf>
    <xf numFmtId="0" fontId="7" fillId="13" borderId="2" xfId="0" applyFont="1" applyFill="1" applyBorder="1"/>
    <xf numFmtId="0" fontId="24" fillId="13" borderId="2" xfId="0" applyFont="1" applyFill="1" applyBorder="1"/>
    <xf numFmtId="164" fontId="0" fillId="13" borderId="2" xfId="0" applyNumberFormat="1" applyFill="1" applyBorder="1"/>
    <xf numFmtId="165" fontId="0" fillId="13" borderId="2" xfId="0" applyNumberFormat="1" applyFill="1" applyBorder="1" applyAlignment="1">
      <alignment horizontal="center" vertical="center"/>
    </xf>
    <xf numFmtId="2" fontId="8" fillId="13" borderId="6" xfId="0" applyNumberFormat="1" applyFont="1" applyFill="1" applyBorder="1" applyAlignment="1">
      <alignment horizontal="center"/>
    </xf>
    <xf numFmtId="9" fontId="8" fillId="13" borderId="6" xfId="1" applyFont="1" applyFill="1" applyBorder="1" applyAlignment="1">
      <alignment horizontal="center"/>
    </xf>
    <xf numFmtId="2" fontId="8" fillId="13" borderId="6" xfId="0" applyNumberFormat="1" applyFont="1" applyFill="1" applyBorder="1" applyAlignment="1">
      <alignment horizontal="center" vertical="center"/>
    </xf>
    <xf numFmtId="0" fontId="24" fillId="11" borderId="1" xfId="0" applyFont="1" applyFill="1" applyBorder="1"/>
    <xf numFmtId="44" fontId="15" fillId="17" borderId="1" xfId="0" applyNumberFormat="1" applyFont="1" applyFill="1" applyBorder="1"/>
    <xf numFmtId="0" fontId="0" fillId="29" borderId="1" xfId="0" applyFill="1" applyBorder="1"/>
    <xf numFmtId="164" fontId="0" fillId="29" borderId="1" xfId="0" applyNumberFormat="1" applyFill="1" applyBorder="1"/>
    <xf numFmtId="0" fontId="0" fillId="29" borderId="1" xfId="0" applyFill="1" applyBorder="1" applyAlignment="1">
      <alignment horizontal="center" vertical="center"/>
    </xf>
    <xf numFmtId="0" fontId="0" fillId="29" borderId="1" xfId="0" applyFill="1" applyBorder="1" applyAlignment="1">
      <alignment horizontal="center"/>
    </xf>
    <xf numFmtId="0" fontId="11" fillId="29" borderId="1" xfId="0" applyFont="1" applyFill="1" applyBorder="1"/>
    <xf numFmtId="44" fontId="0" fillId="29" borderId="1" xfId="0" applyNumberFormat="1" applyFill="1" applyBorder="1"/>
    <xf numFmtId="9" fontId="0" fillId="29" borderId="1" xfId="1" applyFont="1" applyFill="1" applyBorder="1"/>
    <xf numFmtId="44" fontId="0" fillId="29" borderId="7" xfId="0" applyNumberFormat="1" applyFill="1" applyBorder="1"/>
    <xf numFmtId="2" fontId="8" fillId="29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11" fillId="8" borderId="1" xfId="0" applyFont="1" applyFill="1" applyBorder="1"/>
    <xf numFmtId="44" fontId="0" fillId="8" borderId="7" xfId="0" applyNumberFormat="1" applyFill="1" applyBorder="1"/>
    <xf numFmtId="9" fontId="0" fillId="8" borderId="1" xfId="1" applyFont="1" applyFill="1" applyBorder="1"/>
    <xf numFmtId="9" fontId="1" fillId="28" borderId="1" xfId="1" applyFont="1" applyFill="1" applyBorder="1" applyAlignment="1">
      <alignment horizontal="center"/>
    </xf>
    <xf numFmtId="164" fontId="22" fillId="6" borderId="1" xfId="0" applyNumberFormat="1" applyFont="1" applyFill="1" applyBorder="1"/>
    <xf numFmtId="174" fontId="0" fillId="27" borderId="1" xfId="0" applyNumberFormat="1" applyFill="1" applyBorder="1"/>
    <xf numFmtId="0" fontId="0" fillId="18" borderId="0" xfId="0" applyFill="1"/>
    <xf numFmtId="175" fontId="0" fillId="5" borderId="1" xfId="0" applyNumberFormat="1" applyFill="1" applyBorder="1" applyAlignment="1">
      <alignment horizontal="center"/>
    </xf>
    <xf numFmtId="164" fontId="22" fillId="29" borderId="1" xfId="0" applyNumberFormat="1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center" vertical="center"/>
    </xf>
    <xf numFmtId="0" fontId="0" fillId="27" borderId="6" xfId="0" applyFill="1" applyBorder="1" applyAlignment="1">
      <alignment horizontal="center"/>
    </xf>
    <xf numFmtId="0" fontId="7" fillId="27" borderId="6" xfId="0" applyFont="1" applyFill="1" applyBorder="1"/>
    <xf numFmtId="0" fontId="24" fillId="27" borderId="6" xfId="0" applyFont="1" applyFill="1" applyBorder="1"/>
    <xf numFmtId="0" fontId="0" fillId="0" borderId="6" xfId="0" applyBorder="1"/>
    <xf numFmtId="44" fontId="0" fillId="27" borderId="6" xfId="0" applyNumberFormat="1" applyFill="1" applyBorder="1"/>
    <xf numFmtId="9" fontId="0" fillId="27" borderId="6" xfId="1" applyFont="1" applyFill="1" applyBorder="1" applyAlignment="1">
      <alignment horizontal="center"/>
    </xf>
    <xf numFmtId="0" fontId="9" fillId="27" borderId="6" xfId="0" applyFont="1" applyFill="1" applyBorder="1" applyAlignment="1">
      <alignment horizontal="center"/>
    </xf>
    <xf numFmtId="0" fontId="8" fillId="27" borderId="6" xfId="0" applyFont="1" applyFill="1" applyBorder="1" applyAlignment="1">
      <alignment horizontal="center" vertical="center"/>
    </xf>
    <xf numFmtId="0" fontId="22" fillId="0" borderId="6" xfId="0" applyFont="1" applyBorder="1"/>
    <xf numFmtId="174" fontId="0" fillId="27" borderId="6" xfId="0" applyNumberFormat="1" applyFill="1" applyBorder="1"/>
    <xf numFmtId="0" fontId="0" fillId="27" borderId="9" xfId="0" applyFill="1" applyBorder="1"/>
    <xf numFmtId="0" fontId="0" fillId="27" borderId="9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/>
    </xf>
    <xf numFmtId="0" fontId="7" fillId="27" borderId="9" xfId="0" applyFont="1" applyFill="1" applyBorder="1"/>
    <xf numFmtId="0" fontId="24" fillId="27" borderId="9" xfId="0" applyFont="1" applyFill="1" applyBorder="1"/>
    <xf numFmtId="0" fontId="0" fillId="0" borderId="10" xfId="0" applyBorder="1"/>
    <xf numFmtId="0" fontId="0" fillId="0" borderId="9" xfId="0" applyBorder="1"/>
    <xf numFmtId="44" fontId="0" fillId="27" borderId="9" xfId="0" applyNumberFormat="1" applyFill="1" applyBorder="1"/>
    <xf numFmtId="9" fontId="0" fillId="27" borderId="9" xfId="1" applyFont="1" applyFill="1" applyBorder="1" applyAlignment="1">
      <alignment horizontal="center"/>
    </xf>
    <xf numFmtId="0" fontId="9" fillId="27" borderId="9" xfId="0" applyFont="1" applyFill="1" applyBorder="1" applyAlignment="1">
      <alignment horizontal="center"/>
    </xf>
    <xf numFmtId="0" fontId="8" fillId="27" borderId="9" xfId="0" applyFont="1" applyFill="1" applyBorder="1" applyAlignment="1">
      <alignment horizontal="center" vertical="center"/>
    </xf>
    <xf numFmtId="174" fontId="0" fillId="27" borderId="9" xfId="0" applyNumberFormat="1" applyFill="1" applyBorder="1"/>
    <xf numFmtId="44" fontId="15" fillId="27" borderId="9" xfId="0" applyNumberFormat="1" applyFont="1" applyFill="1" applyBorder="1"/>
    <xf numFmtId="176" fontId="15" fillId="23" borderId="1" xfId="0" applyNumberFormat="1" applyFont="1" applyFill="1" applyBorder="1"/>
    <xf numFmtId="0" fontId="0" fillId="27" borderId="3" xfId="0" applyFill="1" applyBorder="1"/>
    <xf numFmtId="0" fontId="0" fillId="27" borderId="3" xfId="0" applyFill="1" applyBorder="1" applyAlignment="1">
      <alignment horizontal="center" vertical="center"/>
    </xf>
    <xf numFmtId="0" fontId="0" fillId="27" borderId="4" xfId="0" applyFill="1" applyBorder="1"/>
    <xf numFmtId="0" fontId="0" fillId="27" borderId="5" xfId="0" applyFill="1" applyBorder="1"/>
    <xf numFmtId="0" fontId="0" fillId="27" borderId="11" xfId="0" applyFill="1" applyBorder="1"/>
    <xf numFmtId="0" fontId="8" fillId="27" borderId="7" xfId="0" applyFont="1" applyFill="1" applyBorder="1" applyAlignment="1">
      <alignment horizontal="center" vertical="center"/>
    </xf>
    <xf numFmtId="0" fontId="8" fillId="27" borderId="12" xfId="0" applyFont="1" applyFill="1" applyBorder="1" applyAlignment="1">
      <alignment horizontal="center" vertical="center"/>
    </xf>
    <xf numFmtId="0" fontId="8" fillId="27" borderId="13" xfId="0" applyFont="1" applyFill="1" applyBorder="1" applyAlignment="1">
      <alignment horizontal="center" vertical="center"/>
    </xf>
    <xf numFmtId="0" fontId="0" fillId="27" borderId="14" xfId="0" applyFill="1" applyBorder="1"/>
    <xf numFmtId="0" fontId="8" fillId="27" borderId="15" xfId="0" applyFont="1" applyFill="1" applyBorder="1" applyAlignment="1">
      <alignment horizontal="center" vertical="center"/>
    </xf>
    <xf numFmtId="0" fontId="0" fillId="27" borderId="3" xfId="0" applyFill="1" applyBorder="1" applyAlignment="1">
      <alignment horizontal="center"/>
    </xf>
    <xf numFmtId="0" fontId="7" fillId="27" borderId="3" xfId="0" applyFont="1" applyFill="1" applyBorder="1"/>
    <xf numFmtId="0" fontId="24" fillId="27" borderId="3" xfId="0" applyFont="1" applyFill="1" applyBorder="1"/>
    <xf numFmtId="172" fontId="11" fillId="27" borderId="1" xfId="0" applyNumberFormat="1" applyFont="1" applyFill="1" applyBorder="1"/>
    <xf numFmtId="0" fontId="0" fillId="27" borderId="7" xfId="0" applyFill="1" applyBorder="1" applyAlignment="1">
      <alignment horizontal="center" vertical="center"/>
    </xf>
    <xf numFmtId="0" fontId="0" fillId="30" borderId="1" xfId="0" applyFill="1" applyBorder="1"/>
    <xf numFmtId="0" fontId="0" fillId="30" borderId="1" xfId="0" applyFill="1" applyBorder="1" applyAlignment="1">
      <alignment horizontal="center" vertical="center"/>
    </xf>
    <xf numFmtId="0" fontId="0" fillId="30" borderId="1" xfId="0" applyFill="1" applyBorder="1" applyAlignment="1">
      <alignment horizontal="center"/>
    </xf>
    <xf numFmtId="0" fontId="11" fillId="30" borderId="1" xfId="0" applyFont="1" applyFill="1" applyBorder="1"/>
    <xf numFmtId="164" fontId="0" fillId="30" borderId="1" xfId="0" applyNumberFormat="1" applyFill="1" applyBorder="1"/>
    <xf numFmtId="44" fontId="0" fillId="30" borderId="7" xfId="0" applyNumberFormat="1" applyFill="1" applyBorder="1"/>
    <xf numFmtId="9" fontId="0" fillId="30" borderId="1" xfId="1" applyFont="1" applyFill="1" applyBorder="1"/>
    <xf numFmtId="0" fontId="0" fillId="31" borderId="1" xfId="0" applyFill="1" applyBorder="1"/>
    <xf numFmtId="0" fontId="0" fillId="31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/>
    </xf>
    <xf numFmtId="0" fontId="11" fillId="31" borderId="1" xfId="0" applyFont="1" applyFill="1" applyBorder="1"/>
    <xf numFmtId="0" fontId="0" fillId="32" borderId="1" xfId="0" applyFill="1" applyBorder="1"/>
    <xf numFmtId="0" fontId="0" fillId="32" borderId="1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/>
    </xf>
    <xf numFmtId="0" fontId="11" fillId="32" borderId="1" xfId="0" applyFont="1" applyFill="1" applyBorder="1"/>
    <xf numFmtId="164" fontId="0" fillId="32" borderId="1" xfId="0" applyNumberFormat="1" applyFill="1" applyBorder="1"/>
    <xf numFmtId="9" fontId="0" fillId="32" borderId="1" xfId="1" applyFont="1" applyFill="1" applyBorder="1"/>
    <xf numFmtId="0" fontId="0" fillId="33" borderId="1" xfId="0" applyFill="1" applyBorder="1"/>
    <xf numFmtId="0" fontId="0" fillId="33" borderId="1" xfId="0" applyFill="1" applyBorder="1" applyAlignment="1">
      <alignment horizontal="center" vertical="center"/>
    </xf>
    <xf numFmtId="164" fontId="0" fillId="33" borderId="1" xfId="0" applyNumberFormat="1" applyFill="1" applyBorder="1"/>
    <xf numFmtId="9" fontId="0" fillId="33" borderId="1" xfId="1" applyFont="1" applyFill="1" applyBorder="1"/>
    <xf numFmtId="0" fontId="11" fillId="33" borderId="1" xfId="0" applyFont="1" applyFill="1" applyBorder="1"/>
    <xf numFmtId="9" fontId="0" fillId="31" borderId="1" xfId="1" applyFont="1" applyFill="1" applyBorder="1"/>
    <xf numFmtId="164" fontId="0" fillId="31" borderId="1" xfId="0" applyNumberFormat="1" applyFill="1" applyBorder="1"/>
    <xf numFmtId="0" fontId="0" fillId="0" borderId="0" xfId="0" applyProtection="1"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165" fontId="0" fillId="6" borderId="1" xfId="0" applyNumberFormat="1" applyFill="1" applyBorder="1" applyProtection="1">
      <protection locked="0"/>
    </xf>
    <xf numFmtId="164" fontId="0" fillId="7" borderId="1" xfId="0" applyNumberFormat="1" applyFill="1" applyBorder="1" applyProtection="1">
      <protection locked="0"/>
    </xf>
    <xf numFmtId="164" fontId="0" fillId="8" borderId="1" xfId="0" applyNumberFormat="1" applyFill="1" applyBorder="1" applyProtection="1">
      <protection locked="0"/>
    </xf>
    <xf numFmtId="167" fontId="0" fillId="4" borderId="1" xfId="0" applyNumberFormat="1" applyFill="1" applyBorder="1" applyProtection="1">
      <protection locked="0"/>
    </xf>
    <xf numFmtId="164" fontId="0" fillId="10" borderId="1" xfId="0" applyNumberFormat="1" applyFill="1" applyBorder="1" applyProtection="1">
      <protection locked="0"/>
    </xf>
    <xf numFmtId="164" fontId="0" fillId="11" borderId="1" xfId="0" applyNumberFormat="1" applyFill="1" applyBorder="1" applyProtection="1">
      <protection locked="0"/>
    </xf>
    <xf numFmtId="164" fontId="0" fillId="12" borderId="1" xfId="0" applyNumberFormat="1" applyFill="1" applyBorder="1" applyProtection="1">
      <protection locked="0"/>
    </xf>
    <xf numFmtId="164" fontId="0" fillId="12" borderId="3" xfId="0" applyNumberFormat="1" applyFill="1" applyBorder="1" applyProtection="1">
      <protection locked="0"/>
    </xf>
    <xf numFmtId="165" fontId="0" fillId="13" borderId="2" xfId="0" applyNumberFormat="1" applyFill="1" applyBorder="1" applyProtection="1">
      <protection locked="0"/>
    </xf>
    <xf numFmtId="164" fontId="0" fillId="5" borderId="1" xfId="0" applyNumberFormat="1" applyFill="1" applyBorder="1" applyProtection="1">
      <protection locked="0"/>
    </xf>
    <xf numFmtId="164" fontId="0" fillId="14" borderId="1" xfId="0" applyNumberFormat="1" applyFill="1" applyBorder="1" applyProtection="1">
      <protection locked="0"/>
    </xf>
    <xf numFmtId="44" fontId="0" fillId="17" borderId="1" xfId="0" applyNumberFormat="1" applyFill="1" applyBorder="1" applyProtection="1">
      <protection locked="0"/>
    </xf>
    <xf numFmtId="171" fontId="0" fillId="18" borderId="1" xfId="0" applyNumberFormat="1" applyFill="1" applyBorder="1" applyProtection="1">
      <protection locked="0"/>
    </xf>
    <xf numFmtId="44" fontId="0" fillId="19" borderId="1" xfId="0" applyNumberFormat="1" applyFill="1" applyBorder="1" applyProtection="1">
      <protection locked="0"/>
    </xf>
    <xf numFmtId="44" fontId="0" fillId="16" borderId="1" xfId="0" applyNumberFormat="1" applyFill="1" applyBorder="1" applyProtection="1">
      <protection locked="0"/>
    </xf>
    <xf numFmtId="44" fontId="0" fillId="20" borderId="1" xfId="0" applyNumberFormat="1" applyFill="1" applyBorder="1" applyProtection="1">
      <protection locked="0"/>
    </xf>
    <xf numFmtId="171" fontId="0" fillId="21" borderId="1" xfId="0" applyNumberFormat="1" applyFill="1" applyBorder="1" applyProtection="1">
      <protection locked="0"/>
    </xf>
    <xf numFmtId="171" fontId="0" fillId="23" borderId="1" xfId="0" applyNumberFormat="1" applyFill="1" applyBorder="1" applyProtection="1">
      <protection locked="0"/>
    </xf>
    <xf numFmtId="173" fontId="0" fillId="22" borderId="1" xfId="0" applyNumberFormat="1" applyFill="1" applyBorder="1" applyProtection="1">
      <protection locked="0"/>
    </xf>
    <xf numFmtId="44" fontId="0" fillId="24" borderId="1" xfId="0" applyNumberFormat="1" applyFill="1" applyBorder="1" applyProtection="1">
      <protection locked="0"/>
    </xf>
    <xf numFmtId="44" fontId="0" fillId="24" borderId="3" xfId="0" applyNumberFormat="1" applyFill="1" applyBorder="1" applyProtection="1">
      <protection locked="0"/>
    </xf>
    <xf numFmtId="171" fontId="0" fillId="25" borderId="1" xfId="0" applyNumberFormat="1" applyFill="1" applyBorder="1" applyProtection="1">
      <protection locked="0"/>
    </xf>
    <xf numFmtId="171" fontId="0" fillId="28" borderId="1" xfId="0" applyNumberFormat="1" applyFill="1" applyBorder="1" applyProtection="1">
      <protection locked="0"/>
    </xf>
    <xf numFmtId="44" fontId="0" fillId="4" borderId="1" xfId="0" applyNumberFormat="1" applyFill="1" applyBorder="1" applyProtection="1">
      <protection locked="0"/>
    </xf>
    <xf numFmtId="44" fontId="0" fillId="4" borderId="3" xfId="0" applyNumberFormat="1" applyFill="1" applyBorder="1" applyProtection="1">
      <protection locked="0"/>
    </xf>
    <xf numFmtId="44" fontId="0" fillId="29" borderId="1" xfId="0" applyNumberFormat="1" applyFill="1" applyBorder="1" applyProtection="1">
      <protection locked="0"/>
    </xf>
    <xf numFmtId="0" fontId="0" fillId="29" borderId="1" xfId="0" applyFill="1" applyBorder="1" applyProtection="1">
      <protection locked="0"/>
    </xf>
    <xf numFmtId="164" fontId="0" fillId="29" borderId="1" xfId="0" applyNumberFormat="1" applyFill="1" applyBorder="1" applyProtection="1">
      <protection locked="0"/>
    </xf>
    <xf numFmtId="0" fontId="0" fillId="8" borderId="1" xfId="0" applyFill="1" applyBorder="1" applyProtection="1">
      <protection locked="0"/>
    </xf>
    <xf numFmtId="0" fontId="0" fillId="31" borderId="1" xfId="0" applyFill="1" applyBorder="1" applyProtection="1">
      <protection locked="0"/>
    </xf>
    <xf numFmtId="0" fontId="0" fillId="33" borderId="1" xfId="0" applyFill="1" applyBorder="1" applyProtection="1">
      <protection locked="0"/>
    </xf>
    <xf numFmtId="164" fontId="15" fillId="10" borderId="1" xfId="0" applyNumberFormat="1" applyFont="1" applyFill="1" applyBorder="1"/>
    <xf numFmtId="177" fontId="3" fillId="4" borderId="4" xfId="0" applyNumberFormat="1" applyFont="1" applyFill="1" applyBorder="1" applyAlignment="1">
      <alignment horizontal="center" vertical="center"/>
    </xf>
    <xf numFmtId="177" fontId="8" fillId="4" borderId="4" xfId="0" applyNumberFormat="1" applyFont="1" applyFill="1" applyBorder="1" applyAlignment="1">
      <alignment horizontal="center" vertical="center"/>
    </xf>
    <xf numFmtId="177" fontId="8" fillId="29" borderId="4" xfId="0" applyNumberFormat="1" applyFont="1" applyFill="1" applyBorder="1" applyAlignment="1">
      <alignment horizontal="center" vertical="center"/>
    </xf>
    <xf numFmtId="165" fontId="0" fillId="32" borderId="1" xfId="0" applyNumberFormat="1" applyFill="1" applyBorder="1"/>
    <xf numFmtId="49" fontId="32" fillId="4" borderId="1" xfId="0" applyNumberFormat="1" applyFont="1" applyFill="1" applyBorder="1" applyAlignment="1">
      <alignment horizontal="center" vertical="center"/>
    </xf>
    <xf numFmtId="49" fontId="11" fillId="21" borderId="1" xfId="0" applyNumberFormat="1" applyFont="1" applyFill="1" applyBorder="1" applyAlignment="1">
      <alignment horizontal="center" vertical="center" wrapText="1"/>
    </xf>
    <xf numFmtId="49" fontId="11" fillId="23" borderId="1" xfId="0" applyNumberFormat="1" applyFont="1" applyFill="1" applyBorder="1" applyAlignment="1">
      <alignment horizontal="center" vertical="center" wrapText="1"/>
    </xf>
    <xf numFmtId="49" fontId="11" fillId="22" borderId="1" xfId="0" applyNumberFormat="1" applyFont="1" applyFill="1" applyBorder="1" applyAlignment="1">
      <alignment horizontal="center" vertical="center" wrapText="1"/>
    </xf>
    <xf numFmtId="49" fontId="11" fillId="22" borderId="3" xfId="0" applyNumberFormat="1" applyFont="1" applyFill="1" applyBorder="1" applyAlignment="1">
      <alignment horizontal="center" vertical="center" wrapText="1"/>
    </xf>
    <xf numFmtId="49" fontId="11" fillId="24" borderId="1" xfId="0" applyNumberFormat="1" applyFont="1" applyFill="1" applyBorder="1" applyAlignment="1">
      <alignment horizontal="center" vertical="center" wrapText="1"/>
    </xf>
    <xf numFmtId="49" fontId="11" fillId="25" borderId="1" xfId="0" applyNumberFormat="1" applyFont="1" applyFill="1" applyBorder="1" applyAlignment="1">
      <alignment horizontal="center" vertical="center" wrapText="1"/>
    </xf>
    <xf numFmtId="49" fontId="11" fillId="28" borderId="1" xfId="0" applyNumberFormat="1" applyFont="1" applyFill="1" applyBorder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1" fillId="29" borderId="1" xfId="0" applyNumberFormat="1" applyFont="1" applyFill="1" applyBorder="1" applyAlignment="1">
      <alignment horizontal="center" vertical="center"/>
    </xf>
    <xf numFmtId="49" fontId="11" fillId="6" borderId="1" xfId="0" applyNumberFormat="1" applyFont="1" applyFill="1" applyBorder="1" applyAlignment="1">
      <alignment horizontal="center" vertical="center"/>
    </xf>
    <xf numFmtId="49" fontId="11" fillId="7" borderId="1" xfId="0" applyNumberFormat="1" applyFont="1" applyFill="1" applyBorder="1" applyAlignment="1">
      <alignment horizontal="center" vertical="center"/>
    </xf>
    <xf numFmtId="49" fontId="11" fillId="8" borderId="1" xfId="0" applyNumberFormat="1" applyFont="1" applyFill="1" applyBorder="1" applyAlignment="1">
      <alignment horizontal="center" vertical="center"/>
    </xf>
    <xf numFmtId="49" fontId="11" fillId="10" borderId="1" xfId="0" applyNumberFormat="1" applyFont="1" applyFill="1" applyBorder="1" applyAlignment="1">
      <alignment horizontal="center" vertical="center"/>
    </xf>
    <xf numFmtId="49" fontId="11" fillId="12" borderId="1" xfId="0" applyNumberFormat="1" applyFont="1" applyFill="1" applyBorder="1" applyAlignment="1">
      <alignment horizontal="center" vertical="center"/>
    </xf>
    <xf numFmtId="49" fontId="11" fillId="12" borderId="3" xfId="0" applyNumberFormat="1" applyFont="1" applyFill="1" applyBorder="1" applyAlignment="1">
      <alignment horizontal="center" vertical="center"/>
    </xf>
    <xf numFmtId="49" fontId="11" fillId="13" borderId="6" xfId="0" applyNumberFormat="1" applyFont="1" applyFill="1" applyBorder="1" applyAlignment="1">
      <alignment horizontal="center" vertical="center"/>
    </xf>
    <xf numFmtId="49" fontId="11" fillId="5" borderId="4" xfId="0" applyNumberFormat="1" applyFont="1" applyFill="1" applyBorder="1" applyAlignment="1">
      <alignment horizontal="center" vertical="center"/>
    </xf>
    <xf numFmtId="49" fontId="11" fillId="5" borderId="1" xfId="0" applyNumberFormat="1" applyFont="1" applyFill="1" applyBorder="1" applyAlignment="1">
      <alignment horizontal="center" vertical="center"/>
    </xf>
    <xf numFmtId="49" fontId="11" fillId="15" borderId="1" xfId="0" applyNumberFormat="1" applyFont="1" applyFill="1" applyBorder="1" applyAlignment="1">
      <alignment horizontal="center" vertical="center"/>
    </xf>
    <xf numFmtId="49" fontId="11" fillId="17" borderId="1" xfId="0" applyNumberFormat="1" applyFont="1" applyFill="1" applyBorder="1" applyAlignment="1">
      <alignment horizontal="center" vertical="center"/>
    </xf>
    <xf numFmtId="49" fontId="11" fillId="18" borderId="1" xfId="0" applyNumberFormat="1" applyFont="1" applyFill="1" applyBorder="1" applyAlignment="1">
      <alignment horizontal="center" vertical="center"/>
    </xf>
    <xf numFmtId="49" fontId="11" fillId="19" borderId="1" xfId="0" applyNumberFormat="1" applyFont="1" applyFill="1" applyBorder="1" applyAlignment="1">
      <alignment horizontal="center" vertical="center"/>
    </xf>
    <xf numFmtId="49" fontId="11" fillId="16" borderId="1" xfId="0" applyNumberFormat="1" applyFont="1" applyFill="1" applyBorder="1" applyAlignment="1">
      <alignment horizontal="center" vertical="center"/>
    </xf>
    <xf numFmtId="49" fontId="11" fillId="20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/>
    </xf>
    <xf numFmtId="177" fontId="8" fillId="6" borderId="4" xfId="0" applyNumberFormat="1" applyFont="1" applyFill="1" applyBorder="1" applyAlignment="1">
      <alignment horizontal="center" vertical="center"/>
    </xf>
    <xf numFmtId="2" fontId="8" fillId="7" borderId="1" xfId="0" applyNumberFormat="1" applyFont="1" applyFill="1" applyBorder="1" applyAlignment="1">
      <alignment horizontal="center" vertical="center"/>
    </xf>
    <xf numFmtId="177" fontId="8" fillId="7" borderId="4" xfId="0" applyNumberFormat="1" applyFont="1" applyFill="1" applyBorder="1" applyAlignment="1">
      <alignment horizontal="center" vertical="center"/>
    </xf>
    <xf numFmtId="2" fontId="8" fillId="8" borderId="1" xfId="0" applyNumberFormat="1" applyFont="1" applyFill="1" applyBorder="1" applyAlignment="1">
      <alignment horizontal="center" vertical="center"/>
    </xf>
    <xf numFmtId="177" fontId="8" fillId="8" borderId="4" xfId="0" applyNumberFormat="1" applyFont="1" applyFill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177" fontId="8" fillId="10" borderId="4" xfId="0" applyNumberFormat="1" applyFont="1" applyFill="1" applyBorder="1" applyAlignment="1">
      <alignment horizontal="center" vertical="center"/>
    </xf>
    <xf numFmtId="2" fontId="8" fillId="12" borderId="1" xfId="0" applyNumberFormat="1" applyFont="1" applyFill="1" applyBorder="1" applyAlignment="1">
      <alignment horizontal="center" vertical="center"/>
    </xf>
    <xf numFmtId="177" fontId="8" fillId="12" borderId="4" xfId="0" applyNumberFormat="1" applyFont="1" applyFill="1" applyBorder="1" applyAlignment="1">
      <alignment horizontal="center" vertical="center"/>
    </xf>
    <xf numFmtId="2" fontId="8" fillId="12" borderId="3" xfId="0" applyNumberFormat="1" applyFont="1" applyFill="1" applyBorder="1" applyAlignment="1">
      <alignment horizontal="center" vertical="center"/>
    </xf>
    <xf numFmtId="177" fontId="8" fillId="12" borderId="5" xfId="0" applyNumberFormat="1" applyFont="1" applyFill="1" applyBorder="1" applyAlignment="1">
      <alignment horizontal="center" vertical="center"/>
    </xf>
    <xf numFmtId="177" fontId="8" fillId="12" borderId="1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177" fontId="8" fillId="5" borderId="4" xfId="0" applyNumberFormat="1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/>
    </xf>
    <xf numFmtId="2" fontId="8" fillId="15" borderId="1" xfId="0" applyNumberFormat="1" applyFont="1" applyFill="1" applyBorder="1" applyAlignment="1">
      <alignment horizontal="center" vertical="center"/>
    </xf>
    <xf numFmtId="2" fontId="8" fillId="17" borderId="1" xfId="0" applyNumberFormat="1" applyFont="1" applyFill="1" applyBorder="1" applyAlignment="1">
      <alignment horizontal="center" vertical="center"/>
    </xf>
    <xf numFmtId="177" fontId="8" fillId="17" borderId="4" xfId="0" applyNumberFormat="1" applyFont="1" applyFill="1" applyBorder="1" applyAlignment="1">
      <alignment horizontal="center" vertical="center"/>
    </xf>
    <xf numFmtId="177" fontId="10" fillId="17" borderId="4" xfId="0" applyNumberFormat="1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177" fontId="8" fillId="18" borderId="4" xfId="0" applyNumberFormat="1" applyFont="1" applyFill="1" applyBorder="1" applyAlignment="1">
      <alignment horizontal="center" vertical="center"/>
    </xf>
    <xf numFmtId="2" fontId="8" fillId="19" borderId="1" xfId="0" applyNumberFormat="1" applyFont="1" applyFill="1" applyBorder="1" applyAlignment="1">
      <alignment horizontal="center" vertical="center"/>
    </xf>
    <xf numFmtId="177" fontId="8" fillId="19" borderId="4" xfId="0" applyNumberFormat="1" applyFont="1" applyFill="1" applyBorder="1" applyAlignment="1">
      <alignment horizontal="center" vertical="center"/>
    </xf>
    <xf numFmtId="177" fontId="10" fillId="19" borderId="4" xfId="0" applyNumberFormat="1" applyFont="1" applyFill="1" applyBorder="1" applyAlignment="1">
      <alignment horizontal="center" vertical="center"/>
    </xf>
    <xf numFmtId="2" fontId="8" fillId="16" borderId="1" xfId="0" applyNumberFormat="1" applyFont="1" applyFill="1" applyBorder="1" applyAlignment="1">
      <alignment horizontal="center" vertical="center"/>
    </xf>
    <xf numFmtId="177" fontId="8" fillId="16" borderId="4" xfId="0" applyNumberFormat="1" applyFont="1" applyFill="1" applyBorder="1" applyAlignment="1">
      <alignment horizontal="center" vertical="center"/>
    </xf>
    <xf numFmtId="177" fontId="8" fillId="20" borderId="4" xfId="0" applyNumberFormat="1" applyFont="1" applyFill="1" applyBorder="1" applyAlignment="1">
      <alignment horizontal="center" vertical="center"/>
    </xf>
    <xf numFmtId="177" fontId="8" fillId="21" borderId="4" xfId="0" applyNumberFormat="1" applyFont="1" applyFill="1" applyBorder="1" applyAlignment="1">
      <alignment horizontal="center" vertical="center"/>
    </xf>
    <xf numFmtId="177" fontId="8" fillId="21" borderId="5" xfId="0" applyNumberFormat="1" applyFont="1" applyFill="1" applyBorder="1" applyAlignment="1">
      <alignment horizontal="center" vertical="center"/>
    </xf>
    <xf numFmtId="177" fontId="8" fillId="23" borderId="4" xfId="0" applyNumberFormat="1" applyFont="1" applyFill="1" applyBorder="1" applyAlignment="1">
      <alignment horizontal="center" vertical="center"/>
    </xf>
    <xf numFmtId="177" fontId="8" fillId="22" borderId="4" xfId="0" applyNumberFormat="1" applyFont="1" applyFill="1" applyBorder="1" applyAlignment="1">
      <alignment horizontal="center" vertical="center"/>
    </xf>
    <xf numFmtId="177" fontId="8" fillId="22" borderId="5" xfId="0" applyNumberFormat="1" applyFont="1" applyFill="1" applyBorder="1" applyAlignment="1">
      <alignment horizontal="center" vertical="center"/>
    </xf>
    <xf numFmtId="177" fontId="8" fillId="24" borderId="4" xfId="0" applyNumberFormat="1" applyFont="1" applyFill="1" applyBorder="1" applyAlignment="1">
      <alignment horizontal="center" vertical="center"/>
    </xf>
    <xf numFmtId="177" fontId="8" fillId="25" borderId="4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13" borderId="11" xfId="0" applyNumberFormat="1" applyFill="1" applyBorder="1" applyAlignment="1">
      <alignment horizontal="center" vertical="center"/>
    </xf>
    <xf numFmtId="177" fontId="0" fillId="14" borderId="4" xfId="0" applyNumberFormat="1" applyFill="1" applyBorder="1" applyAlignment="1">
      <alignment horizontal="center" vertical="center"/>
    </xf>
    <xf numFmtId="177" fontId="0" fillId="21" borderId="4" xfId="0" applyNumberFormat="1" applyFill="1" applyBorder="1" applyAlignment="1">
      <alignment horizontal="center" vertical="center"/>
    </xf>
    <xf numFmtId="177" fontId="0" fillId="25" borderId="4" xfId="0" applyNumberFormat="1" applyFill="1" applyBorder="1" applyAlignment="1">
      <alignment horizontal="center" vertical="center"/>
    </xf>
    <xf numFmtId="177" fontId="0" fillId="28" borderId="4" xfId="0" applyNumberFormat="1" applyFill="1" applyBorder="1" applyAlignment="1">
      <alignment horizontal="center" vertical="center"/>
    </xf>
    <xf numFmtId="177" fontId="0" fillId="29" borderId="4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177" fontId="0" fillId="8" borderId="4" xfId="0" applyNumberFormat="1" applyFill="1" applyBorder="1" applyAlignment="1">
      <alignment horizontal="center" vertical="center"/>
    </xf>
    <xf numFmtId="49" fontId="0" fillId="30" borderId="1" xfId="0" applyNumberFormat="1" applyFill="1" applyBorder="1" applyAlignment="1">
      <alignment horizontal="center" vertical="center"/>
    </xf>
    <xf numFmtId="177" fontId="0" fillId="30" borderId="4" xfId="0" applyNumberFormat="1" applyFill="1" applyBorder="1" applyAlignment="1">
      <alignment horizontal="center" vertical="center"/>
    </xf>
    <xf numFmtId="49" fontId="0" fillId="31" borderId="1" xfId="0" applyNumberFormat="1" applyFill="1" applyBorder="1" applyAlignment="1">
      <alignment horizontal="center" vertical="center"/>
    </xf>
    <xf numFmtId="177" fontId="0" fillId="31" borderId="4" xfId="0" applyNumberFormat="1" applyFill="1" applyBorder="1" applyAlignment="1">
      <alignment horizontal="center" vertical="center"/>
    </xf>
    <xf numFmtId="49" fontId="0" fillId="32" borderId="1" xfId="0" applyNumberFormat="1" applyFill="1" applyBorder="1" applyAlignment="1">
      <alignment horizontal="center" vertical="center"/>
    </xf>
    <xf numFmtId="177" fontId="0" fillId="32" borderId="4" xfId="0" applyNumberFormat="1" applyFill="1" applyBorder="1" applyAlignment="1">
      <alignment horizontal="center" vertical="center"/>
    </xf>
    <xf numFmtId="49" fontId="0" fillId="33" borderId="1" xfId="0" applyNumberFormat="1" applyFill="1" applyBorder="1" applyAlignment="1">
      <alignment horizontal="center" vertical="center"/>
    </xf>
    <xf numFmtId="164" fontId="0" fillId="33" borderId="1" xfId="0" applyNumberFormat="1" applyFill="1" applyBorder="1" applyAlignment="1">
      <alignment horizontal="center" vertical="center"/>
    </xf>
    <xf numFmtId="177" fontId="0" fillId="33" borderId="4" xfId="0" applyNumberFormat="1" applyFill="1" applyBorder="1" applyAlignment="1">
      <alignment horizontal="center" vertical="center"/>
    </xf>
    <xf numFmtId="0" fontId="0" fillId="6" borderId="4" xfId="0" applyFill="1" applyBorder="1"/>
    <xf numFmtId="0" fontId="0" fillId="7" borderId="4" xfId="0" applyFill="1" applyBorder="1"/>
    <xf numFmtId="0" fontId="0" fillId="8" borderId="4" xfId="0" applyFill="1" applyBorder="1"/>
    <xf numFmtId="0" fontId="0" fillId="10" borderId="4" xfId="0" applyFill="1" applyBorder="1"/>
    <xf numFmtId="0" fontId="0" fillId="11" borderId="4" xfId="0" applyFill="1" applyBorder="1"/>
    <xf numFmtId="0" fontId="0" fillId="11" borderId="4" xfId="0" applyFill="1" applyBorder="1" applyAlignment="1">
      <alignment vertical="top"/>
    </xf>
    <xf numFmtId="0" fontId="0" fillId="13" borderId="4" xfId="0" applyFill="1" applyBorder="1"/>
    <xf numFmtId="0" fontId="0" fillId="5" borderId="4" xfId="0" applyFill="1" applyBorder="1"/>
    <xf numFmtId="0" fontId="0" fillId="17" borderId="4" xfId="0" applyFill="1" applyBorder="1"/>
    <xf numFmtId="0" fontId="0" fillId="18" borderId="4" xfId="0" applyFill="1" applyBorder="1"/>
    <xf numFmtId="0" fontId="0" fillId="19" borderId="4" xfId="0" applyFill="1" applyBorder="1"/>
    <xf numFmtId="0" fontId="0" fillId="16" borderId="4" xfId="0" applyFill="1" applyBorder="1"/>
    <xf numFmtId="0" fontId="0" fillId="20" borderId="4" xfId="0" applyFill="1" applyBorder="1"/>
    <xf numFmtId="0" fontId="0" fillId="23" borderId="4" xfId="0" applyFill="1" applyBorder="1"/>
    <xf numFmtId="0" fontId="0" fillId="22" borderId="4" xfId="0" applyFill="1" applyBorder="1"/>
    <xf numFmtId="0" fontId="15" fillId="22" borderId="4" xfId="0" applyFont="1" applyFill="1" applyBorder="1"/>
    <xf numFmtId="0" fontId="0" fillId="24" borderId="4" xfId="0" applyFill="1" applyBorder="1"/>
    <xf numFmtId="0" fontId="0" fillId="25" borderId="4" xfId="0" applyFill="1" applyBorder="1"/>
    <xf numFmtId="0" fontId="0" fillId="28" borderId="4" xfId="0" applyFill="1" applyBorder="1"/>
    <xf numFmtId="0" fontId="0" fillId="29" borderId="4" xfId="0" applyFill="1" applyBorder="1"/>
    <xf numFmtId="0" fontId="0" fillId="30" borderId="4" xfId="0" applyFill="1" applyBorder="1"/>
    <xf numFmtId="0" fontId="0" fillId="31" borderId="4" xfId="0" applyFill="1" applyBorder="1"/>
    <xf numFmtId="0" fontId="0" fillId="32" borderId="4" xfId="0" applyFill="1" applyBorder="1"/>
    <xf numFmtId="0" fontId="0" fillId="33" borderId="4" xfId="0" applyFill="1" applyBorder="1"/>
    <xf numFmtId="17" fontId="0" fillId="0" borderId="0" xfId="0" applyNumberFormat="1" applyProtection="1"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14" fontId="0" fillId="0" borderId="1" xfId="0" applyNumberFormat="1" applyBorder="1" applyProtection="1">
      <protection locked="0"/>
    </xf>
    <xf numFmtId="14" fontId="30" fillId="0" borderId="1" xfId="0" applyNumberFormat="1" applyFont="1" applyBorder="1" applyProtection="1">
      <protection locked="0"/>
    </xf>
    <xf numFmtId="0" fontId="29" fillId="0" borderId="1" xfId="0" applyFont="1" applyBorder="1" applyProtection="1">
      <protection locked="0"/>
    </xf>
    <xf numFmtId="164" fontId="29" fillId="0" borderId="1" xfId="0" applyNumberFormat="1" applyFont="1" applyBorder="1" applyProtection="1">
      <protection locked="0"/>
    </xf>
    <xf numFmtId="0" fontId="30" fillId="0" borderId="1" xfId="0" applyFont="1" applyBorder="1" applyProtection="1"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64" fontId="0" fillId="0" borderId="1" xfId="0" applyNumberFormat="1" applyBorder="1" applyAlignment="1" applyProtection="1">
      <alignment horizontal="left"/>
      <protection locked="0"/>
    </xf>
    <xf numFmtId="164" fontId="28" fillId="0" borderId="1" xfId="0" applyNumberFormat="1" applyFont="1" applyBorder="1" applyAlignment="1" applyProtection="1">
      <alignment horizontal="left"/>
      <protection locked="0"/>
    </xf>
    <xf numFmtId="164" fontId="15" fillId="0" borderId="1" xfId="0" applyNumberFormat="1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164" fontId="0" fillId="0" borderId="6" xfId="0" applyNumberFormat="1" applyBorder="1" applyAlignment="1" applyProtection="1">
      <alignment horizontal="left"/>
      <protection locked="0"/>
    </xf>
    <xf numFmtId="0" fontId="22" fillId="0" borderId="1" xfId="0" applyFont="1" applyBorder="1" applyProtection="1">
      <protection locked="0"/>
    </xf>
    <xf numFmtId="44" fontId="0" fillId="0" borderId="1" xfId="0" applyNumberFormat="1" applyBorder="1" applyProtection="1">
      <protection locked="0"/>
    </xf>
    <xf numFmtId="0" fontId="0" fillId="0" borderId="3" xfId="0" applyBorder="1" applyProtection="1">
      <protection locked="0"/>
    </xf>
    <xf numFmtId="49" fontId="13" fillId="0" borderId="0" xfId="0" applyNumberFormat="1" applyFont="1" applyAlignment="1" applyProtection="1">
      <alignment horizontal="left" vertical="center"/>
      <protection locked="0"/>
    </xf>
    <xf numFmtId="49" fontId="31" fillId="0" borderId="1" xfId="0" applyNumberFormat="1" applyFont="1" applyBorder="1" applyAlignment="1" applyProtection="1">
      <alignment horizontal="left" vertical="center"/>
      <protection locked="0"/>
    </xf>
    <xf numFmtId="49" fontId="16" fillId="0" borderId="1" xfId="0" applyNumberFormat="1" applyFont="1" applyBorder="1" applyAlignment="1" applyProtection="1">
      <alignment horizontal="left" vertical="center"/>
      <protection locked="0"/>
    </xf>
    <xf numFmtId="49" fontId="13" fillId="0" borderId="1" xfId="0" applyNumberFormat="1" applyFont="1" applyBorder="1" applyAlignment="1" applyProtection="1">
      <alignment horizontal="left" vertical="center"/>
      <protection locked="0"/>
    </xf>
    <xf numFmtId="178" fontId="0" fillId="32" borderId="1" xfId="0" applyNumberFormat="1" applyFill="1" applyBorder="1" applyProtection="1">
      <protection locked="0"/>
    </xf>
    <xf numFmtId="0" fontId="0" fillId="33" borderId="1" xfId="0" applyFill="1" applyBorder="1" applyAlignment="1">
      <alignment horizontal="center"/>
    </xf>
    <xf numFmtId="164" fontId="0" fillId="30" borderId="7" xfId="0" applyNumberFormat="1" applyFill="1" applyBorder="1"/>
    <xf numFmtId="179" fontId="0" fillId="30" borderId="1" xfId="0" applyNumberFormat="1" applyFill="1" applyBorder="1" applyProtection="1">
      <protection locked="0"/>
    </xf>
    <xf numFmtId="164" fontId="0" fillId="29" borderId="7" xfId="0" applyNumberFormat="1" applyFill="1" applyBorder="1"/>
    <xf numFmtId="164" fontId="15" fillId="30" borderId="1" xfId="0" applyNumberFormat="1" applyFont="1" applyFill="1" applyBorder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BEFF7D"/>
      <color rgb="FFFFAB65"/>
      <color rgb="FF8C91FE"/>
      <color rgb="FFA8DCE2"/>
      <color rgb="FF8BFFE1"/>
      <color rgb="FFFFA365"/>
      <color rgb="FFD5B3C6"/>
      <color rgb="FFCA9EB7"/>
      <color rgb="FFCCFF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57</xdr:row>
      <xdr:rowOff>0</xdr:rowOff>
    </xdr:from>
    <xdr:to>
      <xdr:col>11</xdr:col>
      <xdr:colOff>1278859</xdr:colOff>
      <xdr:row>100</xdr:row>
      <xdr:rowOff>142135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1288D07-118C-52F9-74B0-A1AE66B2C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12091" y="9074727"/>
          <a:ext cx="5563376" cy="833553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48A1-953B-4CBB-BCCD-3B50D12F2940}">
  <sheetPr codeName="Tabelle1"/>
  <dimension ref="A1:WLO313"/>
  <sheetViews>
    <sheetView tabSelected="1" zoomScaleNormal="100" zoomScaleSheetLayoutView="50" workbookViewId="0">
      <pane ySplit="2" topLeftCell="A39" activePane="bottomLeft" state="frozen"/>
      <selection activeCell="A2" sqref="A2"/>
      <selection pane="bottomLeft" activeCell="I16" sqref="I16"/>
    </sheetView>
  </sheetViews>
  <sheetFormatPr baseColWidth="10" defaultColWidth="8.42578125" defaultRowHeight="15"/>
  <cols>
    <col min="1" max="1" width="23" customWidth="1"/>
    <col min="2" max="2" width="12.7109375" style="1" customWidth="1"/>
    <col min="3" max="3" width="24.7109375" customWidth="1"/>
    <col min="4" max="4" width="13.42578125" customWidth="1"/>
    <col min="5" max="5" width="29.7109375" customWidth="1"/>
    <col min="6" max="6" width="10.42578125" customWidth="1"/>
    <col min="7" max="7" width="64.7109375" customWidth="1"/>
    <col min="8" max="8" width="37.7109375" customWidth="1"/>
    <col min="9" max="9" width="10.42578125" customWidth="1"/>
    <col min="11" max="11" width="27" style="353" customWidth="1"/>
    <col min="12" max="12" width="16.140625" customWidth="1"/>
    <col min="13" max="13" width="14" customWidth="1"/>
    <col min="14" max="14" width="21.7109375" style="353" customWidth="1"/>
    <col min="15" max="15" width="16.42578125" style="1" customWidth="1"/>
    <col min="16" max="16" width="11.42578125" customWidth="1"/>
    <col min="17" max="17" width="13" customWidth="1"/>
    <col min="18" max="20" width="13" hidden="1" customWidth="1"/>
    <col min="21" max="21" width="17.140625" style="451" customWidth="1"/>
    <col min="22" max="22" width="14.140625" style="1" customWidth="1"/>
    <col min="23" max="23" width="11.42578125" style="452" customWidth="1"/>
    <col min="24" max="24" width="27.42578125" style="511" customWidth="1"/>
    <col min="162" max="162" width="22.42578125" bestFit="1" customWidth="1"/>
    <col min="163" max="163" width="8.42578125" customWidth="1"/>
    <col min="164" max="164" width="29.42578125" customWidth="1"/>
    <col min="165" max="165" width="7" customWidth="1"/>
    <col min="166" max="166" width="22.42578125" bestFit="1" customWidth="1"/>
    <col min="167" max="167" width="62.42578125" customWidth="1"/>
    <col min="168" max="168" width="2.42578125" customWidth="1"/>
    <col min="169" max="169" width="7" customWidth="1"/>
    <col min="170" max="170" width="11.42578125" customWidth="1"/>
    <col min="171" max="172" width="12.42578125" customWidth="1"/>
    <col min="173" max="175" width="8.42578125" customWidth="1"/>
    <col min="176" max="176" width="12.42578125" customWidth="1"/>
    <col min="177" max="178" width="8.42578125" customWidth="1"/>
    <col min="179" max="179" width="44" customWidth="1"/>
    <col min="180" max="180" width="10.42578125" customWidth="1"/>
    <col min="181" max="181" width="7.42578125" customWidth="1"/>
    <col min="182" max="182" width="11.42578125" customWidth="1"/>
    <col min="183" max="184" width="12.42578125" customWidth="1"/>
    <col min="185" max="185" width="11.42578125" customWidth="1"/>
    <col min="186" max="187" width="8.42578125" customWidth="1"/>
    <col min="188" max="188" width="17.42578125" customWidth="1"/>
    <col min="189" max="189" width="12.42578125" customWidth="1"/>
    <col min="190" max="191" width="8.42578125" customWidth="1"/>
    <col min="192" max="192" width="44" customWidth="1"/>
    <col min="194" max="194" width="7.42578125" customWidth="1"/>
    <col min="195" max="195" width="11.42578125" customWidth="1"/>
    <col min="196" max="197" width="12.42578125" customWidth="1"/>
    <col min="198" max="198" width="11.42578125" customWidth="1"/>
    <col min="199" max="200" width="8.42578125" customWidth="1"/>
    <col min="201" max="201" width="17.42578125" customWidth="1"/>
    <col min="202" max="202" width="12.42578125" customWidth="1"/>
    <col min="203" max="204" width="8.42578125" customWidth="1"/>
    <col min="205" max="205" width="44" customWidth="1"/>
    <col min="208" max="208" width="7.42578125" customWidth="1"/>
    <col min="209" max="209" width="11.42578125" customWidth="1"/>
    <col min="210" max="211" width="12.42578125" customWidth="1"/>
    <col min="212" max="212" width="11.42578125" customWidth="1"/>
    <col min="213" max="214" width="8.42578125" customWidth="1"/>
    <col min="215" max="215" width="17.42578125" customWidth="1"/>
    <col min="216" max="216" width="12.42578125" customWidth="1"/>
    <col min="217" max="218" width="8.42578125" customWidth="1"/>
    <col min="219" max="219" width="43.42578125" customWidth="1"/>
    <col min="221" max="221" width="7.42578125" customWidth="1"/>
    <col min="222" max="222" width="11.42578125" customWidth="1"/>
    <col min="223" max="224" width="12.42578125" customWidth="1"/>
    <col min="225" max="225" width="11.42578125" customWidth="1"/>
    <col min="226" max="226" width="8.42578125" customWidth="1"/>
    <col min="227" max="227" width="8.42578125" bestFit="1" customWidth="1"/>
    <col min="228" max="228" width="17.42578125" bestFit="1" customWidth="1"/>
    <col min="229" max="229" width="12.42578125" bestFit="1" customWidth="1"/>
    <col min="230" max="231" width="8.42578125" customWidth="1"/>
    <col min="232" max="232" width="44" customWidth="1"/>
    <col min="418" max="418" width="22.42578125" bestFit="1" customWidth="1"/>
    <col min="419" max="419" width="8.42578125" customWidth="1"/>
    <col min="420" max="420" width="29.42578125" customWidth="1"/>
    <col min="421" max="421" width="7" customWidth="1"/>
    <col min="422" max="422" width="22.42578125" bestFit="1" customWidth="1"/>
    <col min="423" max="423" width="62.42578125" customWidth="1"/>
    <col min="424" max="424" width="2.42578125" customWidth="1"/>
    <col min="425" max="425" width="7" customWidth="1"/>
    <col min="426" max="426" width="11.42578125" customWidth="1"/>
    <col min="427" max="428" width="12.42578125" customWidth="1"/>
    <col min="429" max="431" width="8.42578125" customWidth="1"/>
    <col min="432" max="432" width="12.42578125" customWidth="1"/>
    <col min="433" max="434" width="8.42578125" customWidth="1"/>
    <col min="435" max="435" width="44" customWidth="1"/>
    <col min="436" max="436" width="10.42578125" customWidth="1"/>
    <col min="437" max="437" width="7.42578125" customWidth="1"/>
    <col min="438" max="438" width="11.42578125" customWidth="1"/>
    <col min="439" max="440" width="12.42578125" customWidth="1"/>
    <col min="441" max="441" width="11.42578125" customWidth="1"/>
    <col min="442" max="443" width="8.42578125" customWidth="1"/>
    <col min="444" max="444" width="17.42578125" customWidth="1"/>
    <col min="445" max="445" width="12.42578125" customWidth="1"/>
    <col min="446" max="447" width="8.42578125" customWidth="1"/>
    <col min="448" max="448" width="44" customWidth="1"/>
    <col min="450" max="450" width="7.42578125" customWidth="1"/>
    <col min="451" max="451" width="11.42578125" customWidth="1"/>
    <col min="452" max="453" width="12.42578125" customWidth="1"/>
    <col min="454" max="454" width="11.42578125" customWidth="1"/>
    <col min="455" max="456" width="8.42578125" customWidth="1"/>
    <col min="457" max="457" width="17.42578125" customWidth="1"/>
    <col min="458" max="458" width="12.42578125" customWidth="1"/>
    <col min="459" max="460" width="8.42578125" customWidth="1"/>
    <col min="461" max="461" width="44" customWidth="1"/>
    <col min="464" max="464" width="7.42578125" customWidth="1"/>
    <col min="465" max="465" width="11.42578125" customWidth="1"/>
    <col min="466" max="467" width="12.42578125" customWidth="1"/>
    <col min="468" max="468" width="11.42578125" customWidth="1"/>
    <col min="469" max="470" width="8.42578125" customWidth="1"/>
    <col min="471" max="471" width="17.42578125" customWidth="1"/>
    <col min="472" max="472" width="12.42578125" customWidth="1"/>
    <col min="473" max="474" width="8.42578125" customWidth="1"/>
    <col min="475" max="475" width="43.42578125" customWidth="1"/>
    <col min="477" max="477" width="7.42578125" customWidth="1"/>
    <col min="478" max="478" width="11.42578125" customWidth="1"/>
    <col min="479" max="480" width="12.42578125" customWidth="1"/>
    <col min="481" max="481" width="11.42578125" customWidth="1"/>
    <col min="482" max="482" width="8.42578125" customWidth="1"/>
    <col min="483" max="483" width="8.42578125" bestFit="1" customWidth="1"/>
    <col min="484" max="484" width="17.42578125" bestFit="1" customWidth="1"/>
    <col min="485" max="485" width="12.42578125" bestFit="1" customWidth="1"/>
    <col min="486" max="487" width="8.42578125" customWidth="1"/>
    <col min="488" max="488" width="44" customWidth="1"/>
    <col min="674" max="674" width="22.42578125" bestFit="1" customWidth="1"/>
    <col min="675" max="675" width="8.42578125" customWidth="1"/>
    <col min="676" max="676" width="29.42578125" customWidth="1"/>
    <col min="677" max="677" width="7" customWidth="1"/>
    <col min="678" max="678" width="22.42578125" bestFit="1" customWidth="1"/>
    <col min="679" max="679" width="62.42578125" customWidth="1"/>
    <col min="680" max="680" width="2.42578125" customWidth="1"/>
    <col min="681" max="681" width="7" customWidth="1"/>
    <col min="682" max="682" width="11.42578125" customWidth="1"/>
    <col min="683" max="684" width="12.42578125" customWidth="1"/>
    <col min="685" max="687" width="8.42578125" customWidth="1"/>
    <col min="688" max="688" width="12.42578125" customWidth="1"/>
    <col min="689" max="690" width="8.42578125" customWidth="1"/>
    <col min="691" max="691" width="44" customWidth="1"/>
    <col min="692" max="692" width="10.42578125" customWidth="1"/>
    <col min="693" max="693" width="7.42578125" customWidth="1"/>
    <col min="694" max="694" width="11.42578125" customWidth="1"/>
    <col min="695" max="696" width="12.42578125" customWidth="1"/>
    <col min="697" max="697" width="11.42578125" customWidth="1"/>
    <col min="698" max="699" width="8.42578125" customWidth="1"/>
    <col min="700" max="700" width="17.42578125" customWidth="1"/>
    <col min="701" max="701" width="12.42578125" customWidth="1"/>
    <col min="702" max="703" width="8.42578125" customWidth="1"/>
    <col min="704" max="704" width="44" customWidth="1"/>
    <col min="706" max="706" width="7.42578125" customWidth="1"/>
    <col min="707" max="707" width="11.42578125" customWidth="1"/>
    <col min="708" max="709" width="12.42578125" customWidth="1"/>
    <col min="710" max="710" width="11.42578125" customWidth="1"/>
    <col min="711" max="712" width="8.42578125" customWidth="1"/>
    <col min="713" max="713" width="17.42578125" customWidth="1"/>
    <col min="714" max="714" width="12.42578125" customWidth="1"/>
    <col min="715" max="716" width="8.42578125" customWidth="1"/>
    <col min="717" max="717" width="44" customWidth="1"/>
    <col min="720" max="720" width="7.42578125" customWidth="1"/>
    <col min="721" max="721" width="11.42578125" customWidth="1"/>
    <col min="722" max="723" width="12.42578125" customWidth="1"/>
    <col min="724" max="724" width="11.42578125" customWidth="1"/>
    <col min="725" max="726" width="8.42578125" customWidth="1"/>
    <col min="727" max="727" width="17.42578125" customWidth="1"/>
    <col min="728" max="728" width="12.42578125" customWidth="1"/>
    <col min="729" max="730" width="8.42578125" customWidth="1"/>
    <col min="731" max="731" width="43.42578125" customWidth="1"/>
    <col min="733" max="733" width="7.42578125" customWidth="1"/>
    <col min="734" max="734" width="11.42578125" customWidth="1"/>
    <col min="735" max="736" width="12.42578125" customWidth="1"/>
    <col min="737" max="737" width="11.42578125" customWidth="1"/>
    <col min="738" max="738" width="8.42578125" customWidth="1"/>
    <col min="739" max="739" width="8.42578125" bestFit="1" customWidth="1"/>
    <col min="740" max="740" width="17.42578125" bestFit="1" customWidth="1"/>
    <col min="741" max="741" width="12.42578125" bestFit="1" customWidth="1"/>
    <col min="742" max="743" width="8.42578125" customWidth="1"/>
    <col min="744" max="744" width="44" customWidth="1"/>
    <col min="930" max="930" width="22.42578125" bestFit="1" customWidth="1"/>
    <col min="931" max="931" width="8.42578125" customWidth="1"/>
    <col min="932" max="932" width="29.42578125" customWidth="1"/>
    <col min="933" max="933" width="7" customWidth="1"/>
    <col min="934" max="934" width="22.42578125" bestFit="1" customWidth="1"/>
    <col min="935" max="935" width="62.42578125" customWidth="1"/>
    <col min="936" max="936" width="2.42578125" customWidth="1"/>
    <col min="937" max="937" width="7" customWidth="1"/>
    <col min="938" max="938" width="11.42578125" customWidth="1"/>
    <col min="939" max="940" width="12.42578125" customWidth="1"/>
    <col min="941" max="943" width="8.42578125" customWidth="1"/>
    <col min="944" max="944" width="12.42578125" customWidth="1"/>
    <col min="945" max="946" width="8.42578125" customWidth="1"/>
    <col min="947" max="947" width="44" customWidth="1"/>
    <col min="948" max="948" width="10.42578125" customWidth="1"/>
    <col min="949" max="949" width="7.42578125" customWidth="1"/>
    <col min="950" max="950" width="11.42578125" customWidth="1"/>
    <col min="951" max="952" width="12.42578125" customWidth="1"/>
    <col min="953" max="953" width="11.42578125" customWidth="1"/>
    <col min="954" max="955" width="8.42578125" customWidth="1"/>
    <col min="956" max="956" width="17.42578125" customWidth="1"/>
    <col min="957" max="957" width="12.42578125" customWidth="1"/>
    <col min="958" max="959" width="8.42578125" customWidth="1"/>
    <col min="960" max="960" width="44" customWidth="1"/>
    <col min="962" max="962" width="7.42578125" customWidth="1"/>
    <col min="963" max="963" width="11.42578125" customWidth="1"/>
    <col min="964" max="965" width="12.42578125" customWidth="1"/>
    <col min="966" max="966" width="11.42578125" customWidth="1"/>
    <col min="967" max="968" width="8.42578125" customWidth="1"/>
    <col min="969" max="969" width="17.42578125" customWidth="1"/>
    <col min="970" max="970" width="12.42578125" customWidth="1"/>
    <col min="971" max="972" width="8.42578125" customWidth="1"/>
    <col min="973" max="973" width="44" customWidth="1"/>
    <col min="976" max="976" width="7.42578125" customWidth="1"/>
    <col min="977" max="977" width="11.42578125" customWidth="1"/>
    <col min="978" max="979" width="12.42578125" customWidth="1"/>
    <col min="980" max="980" width="11.42578125" customWidth="1"/>
    <col min="981" max="982" width="8.42578125" customWidth="1"/>
    <col min="983" max="983" width="17.42578125" customWidth="1"/>
    <col min="984" max="984" width="12.42578125" customWidth="1"/>
    <col min="985" max="986" width="8.42578125" customWidth="1"/>
    <col min="987" max="987" width="43.42578125" customWidth="1"/>
    <col min="989" max="989" width="7.42578125" customWidth="1"/>
    <col min="990" max="990" width="11.42578125" customWidth="1"/>
    <col min="991" max="992" width="12.42578125" customWidth="1"/>
    <col min="993" max="993" width="11.42578125" customWidth="1"/>
    <col min="994" max="994" width="8.42578125" customWidth="1"/>
    <col min="995" max="995" width="8.42578125" bestFit="1" customWidth="1"/>
    <col min="996" max="996" width="17.42578125" bestFit="1" customWidth="1"/>
    <col min="997" max="997" width="12.42578125" bestFit="1" customWidth="1"/>
    <col min="998" max="999" width="8.42578125" customWidth="1"/>
    <col min="1000" max="1000" width="44" customWidth="1"/>
    <col min="1186" max="1186" width="22.42578125" bestFit="1" customWidth="1"/>
    <col min="1187" max="1187" width="8.42578125" customWidth="1"/>
    <col min="1188" max="1188" width="29.42578125" customWidth="1"/>
    <col min="1189" max="1189" width="7" customWidth="1"/>
    <col min="1190" max="1190" width="22.42578125" bestFit="1" customWidth="1"/>
    <col min="1191" max="1191" width="62.42578125" customWidth="1"/>
    <col min="1192" max="1192" width="2.42578125" customWidth="1"/>
    <col min="1193" max="1193" width="7" customWidth="1"/>
    <col min="1194" max="1194" width="11.42578125" customWidth="1"/>
    <col min="1195" max="1196" width="12.42578125" customWidth="1"/>
    <col min="1197" max="1199" width="8.42578125" customWidth="1"/>
    <col min="1200" max="1200" width="12.42578125" customWidth="1"/>
    <col min="1201" max="1202" width="8.42578125" customWidth="1"/>
    <col min="1203" max="1203" width="44" customWidth="1"/>
    <col min="1204" max="1204" width="10.42578125" customWidth="1"/>
    <col min="1205" max="1205" width="7.42578125" customWidth="1"/>
    <col min="1206" max="1206" width="11.42578125" customWidth="1"/>
    <col min="1207" max="1208" width="12.42578125" customWidth="1"/>
    <col min="1209" max="1209" width="11.42578125" customWidth="1"/>
    <col min="1210" max="1211" width="8.42578125" customWidth="1"/>
    <col min="1212" max="1212" width="17.42578125" customWidth="1"/>
    <col min="1213" max="1213" width="12.42578125" customWidth="1"/>
    <col min="1214" max="1215" width="8.42578125" customWidth="1"/>
    <col min="1216" max="1216" width="44" customWidth="1"/>
    <col min="1218" max="1218" width="7.42578125" customWidth="1"/>
    <col min="1219" max="1219" width="11.42578125" customWidth="1"/>
    <col min="1220" max="1221" width="12.42578125" customWidth="1"/>
    <col min="1222" max="1222" width="11.42578125" customWidth="1"/>
    <col min="1223" max="1224" width="8.42578125" customWidth="1"/>
    <col min="1225" max="1225" width="17.42578125" customWidth="1"/>
    <col min="1226" max="1226" width="12.42578125" customWidth="1"/>
    <col min="1227" max="1228" width="8.42578125" customWidth="1"/>
    <col min="1229" max="1229" width="44" customWidth="1"/>
    <col min="1232" max="1232" width="7.42578125" customWidth="1"/>
    <col min="1233" max="1233" width="11.42578125" customWidth="1"/>
    <col min="1234" max="1235" width="12.42578125" customWidth="1"/>
    <col min="1236" max="1236" width="11.42578125" customWidth="1"/>
    <col min="1237" max="1238" width="8.42578125" customWidth="1"/>
    <col min="1239" max="1239" width="17.42578125" customWidth="1"/>
    <col min="1240" max="1240" width="12.42578125" customWidth="1"/>
    <col min="1241" max="1242" width="8.42578125" customWidth="1"/>
    <col min="1243" max="1243" width="43.42578125" customWidth="1"/>
    <col min="1245" max="1245" width="7.42578125" customWidth="1"/>
    <col min="1246" max="1246" width="11.42578125" customWidth="1"/>
    <col min="1247" max="1248" width="12.42578125" customWidth="1"/>
    <col min="1249" max="1249" width="11.42578125" customWidth="1"/>
    <col min="1250" max="1250" width="8.42578125" customWidth="1"/>
    <col min="1251" max="1251" width="8.42578125" bestFit="1" customWidth="1"/>
    <col min="1252" max="1252" width="17.42578125" bestFit="1" customWidth="1"/>
    <col min="1253" max="1253" width="12.42578125" bestFit="1" customWidth="1"/>
    <col min="1254" max="1255" width="8.42578125" customWidth="1"/>
    <col min="1256" max="1256" width="44" customWidth="1"/>
    <col min="1442" max="1442" width="22.42578125" bestFit="1" customWidth="1"/>
    <col min="1443" max="1443" width="8.42578125" customWidth="1"/>
    <col min="1444" max="1444" width="29.42578125" customWidth="1"/>
    <col min="1445" max="1445" width="7" customWidth="1"/>
    <col min="1446" max="1446" width="22.42578125" bestFit="1" customWidth="1"/>
    <col min="1447" max="1447" width="62.42578125" customWidth="1"/>
    <col min="1448" max="1448" width="2.42578125" customWidth="1"/>
    <col min="1449" max="1449" width="7" customWidth="1"/>
    <col min="1450" max="1450" width="11.42578125" customWidth="1"/>
    <col min="1451" max="1452" width="12.42578125" customWidth="1"/>
    <col min="1453" max="1455" width="8.42578125" customWidth="1"/>
    <col min="1456" max="1456" width="12.42578125" customWidth="1"/>
    <col min="1457" max="1458" width="8.42578125" customWidth="1"/>
    <col min="1459" max="1459" width="44" customWidth="1"/>
    <col min="1460" max="1460" width="10.42578125" customWidth="1"/>
    <col min="1461" max="1461" width="7.42578125" customWidth="1"/>
    <col min="1462" max="1462" width="11.42578125" customWidth="1"/>
    <col min="1463" max="1464" width="12.42578125" customWidth="1"/>
    <col min="1465" max="1465" width="11.42578125" customWidth="1"/>
    <col min="1466" max="1467" width="8.42578125" customWidth="1"/>
    <col min="1468" max="1468" width="17.42578125" customWidth="1"/>
    <col min="1469" max="1469" width="12.42578125" customWidth="1"/>
    <col min="1470" max="1471" width="8.42578125" customWidth="1"/>
    <col min="1472" max="1472" width="44" customWidth="1"/>
    <col min="1474" max="1474" width="7.42578125" customWidth="1"/>
    <col min="1475" max="1475" width="11.42578125" customWidth="1"/>
    <col min="1476" max="1477" width="12.42578125" customWidth="1"/>
    <col min="1478" max="1478" width="11.42578125" customWidth="1"/>
    <col min="1479" max="1480" width="8.42578125" customWidth="1"/>
    <col min="1481" max="1481" width="17.42578125" customWidth="1"/>
    <col min="1482" max="1482" width="12.42578125" customWidth="1"/>
    <col min="1483" max="1484" width="8.42578125" customWidth="1"/>
    <col min="1485" max="1485" width="44" customWidth="1"/>
    <col min="1488" max="1488" width="7.42578125" customWidth="1"/>
    <col min="1489" max="1489" width="11.42578125" customWidth="1"/>
    <col min="1490" max="1491" width="12.42578125" customWidth="1"/>
    <col min="1492" max="1492" width="11.42578125" customWidth="1"/>
    <col min="1493" max="1494" width="8.42578125" customWidth="1"/>
    <col min="1495" max="1495" width="17.42578125" customWidth="1"/>
    <col min="1496" max="1496" width="12.42578125" customWidth="1"/>
    <col min="1497" max="1498" width="8.42578125" customWidth="1"/>
    <col min="1499" max="1499" width="43.42578125" customWidth="1"/>
    <col min="1501" max="1501" width="7.42578125" customWidth="1"/>
    <col min="1502" max="1502" width="11.42578125" customWidth="1"/>
    <col min="1503" max="1504" width="12.42578125" customWidth="1"/>
    <col min="1505" max="1505" width="11.42578125" customWidth="1"/>
    <col min="1506" max="1506" width="8.42578125" customWidth="1"/>
    <col min="1507" max="1507" width="8.42578125" bestFit="1" customWidth="1"/>
    <col min="1508" max="1508" width="17.42578125" bestFit="1" customWidth="1"/>
    <col min="1509" max="1509" width="12.42578125" bestFit="1" customWidth="1"/>
    <col min="1510" max="1511" width="8.42578125" customWidth="1"/>
    <col min="1512" max="1512" width="44" customWidth="1"/>
    <col min="1698" max="1698" width="22.42578125" bestFit="1" customWidth="1"/>
    <col min="1699" max="1699" width="8.42578125" customWidth="1"/>
    <col min="1700" max="1700" width="29.42578125" customWidth="1"/>
    <col min="1701" max="1701" width="7" customWidth="1"/>
    <col min="1702" max="1702" width="22.42578125" bestFit="1" customWidth="1"/>
    <col min="1703" max="1703" width="62.42578125" customWidth="1"/>
    <col min="1704" max="1704" width="2.42578125" customWidth="1"/>
    <col min="1705" max="1705" width="7" customWidth="1"/>
    <col min="1706" max="1706" width="11.42578125" customWidth="1"/>
    <col min="1707" max="1708" width="12.42578125" customWidth="1"/>
    <col min="1709" max="1711" width="8.42578125" customWidth="1"/>
    <col min="1712" max="1712" width="12.42578125" customWidth="1"/>
    <col min="1713" max="1714" width="8.42578125" customWidth="1"/>
    <col min="1715" max="1715" width="44" customWidth="1"/>
    <col min="1716" max="1716" width="10.42578125" customWidth="1"/>
    <col min="1717" max="1717" width="7.42578125" customWidth="1"/>
    <col min="1718" max="1718" width="11.42578125" customWidth="1"/>
    <col min="1719" max="1720" width="12.42578125" customWidth="1"/>
    <col min="1721" max="1721" width="11.42578125" customWidth="1"/>
    <col min="1722" max="1723" width="8.42578125" customWidth="1"/>
    <col min="1724" max="1724" width="17.42578125" customWidth="1"/>
    <col min="1725" max="1725" width="12.42578125" customWidth="1"/>
    <col min="1726" max="1727" width="8.42578125" customWidth="1"/>
    <col min="1728" max="1728" width="44" customWidth="1"/>
    <col min="1730" max="1730" width="7.42578125" customWidth="1"/>
    <col min="1731" max="1731" width="11.42578125" customWidth="1"/>
    <col min="1732" max="1733" width="12.42578125" customWidth="1"/>
    <col min="1734" max="1734" width="11.42578125" customWidth="1"/>
    <col min="1735" max="1736" width="8.42578125" customWidth="1"/>
    <col min="1737" max="1737" width="17.42578125" customWidth="1"/>
    <col min="1738" max="1738" width="12.42578125" customWidth="1"/>
    <col min="1739" max="1740" width="8.42578125" customWidth="1"/>
    <col min="1741" max="1741" width="44" customWidth="1"/>
    <col min="1744" max="1744" width="7.42578125" customWidth="1"/>
    <col min="1745" max="1745" width="11.42578125" customWidth="1"/>
    <col min="1746" max="1747" width="12.42578125" customWidth="1"/>
    <col min="1748" max="1748" width="11.42578125" customWidth="1"/>
    <col min="1749" max="1750" width="8.42578125" customWidth="1"/>
    <col min="1751" max="1751" width="17.42578125" customWidth="1"/>
    <col min="1752" max="1752" width="12.42578125" customWidth="1"/>
    <col min="1753" max="1754" width="8.42578125" customWidth="1"/>
    <col min="1755" max="1755" width="43.42578125" customWidth="1"/>
    <col min="1757" max="1757" width="7.42578125" customWidth="1"/>
    <col min="1758" max="1758" width="11.42578125" customWidth="1"/>
    <col min="1759" max="1760" width="12.42578125" customWidth="1"/>
    <col min="1761" max="1761" width="11.42578125" customWidth="1"/>
    <col min="1762" max="1762" width="8.42578125" customWidth="1"/>
    <col min="1763" max="1763" width="8.42578125" bestFit="1" customWidth="1"/>
    <col min="1764" max="1764" width="17.42578125" bestFit="1" customWidth="1"/>
    <col min="1765" max="1765" width="12.42578125" bestFit="1" customWidth="1"/>
    <col min="1766" max="1767" width="8.42578125" customWidth="1"/>
    <col min="1768" max="1768" width="44" customWidth="1"/>
    <col min="1954" max="1954" width="22.42578125" bestFit="1" customWidth="1"/>
    <col min="1955" max="1955" width="8.42578125" customWidth="1"/>
    <col min="1956" max="1956" width="29.42578125" customWidth="1"/>
    <col min="1957" max="1957" width="7" customWidth="1"/>
    <col min="1958" max="1958" width="22.42578125" bestFit="1" customWidth="1"/>
    <col min="1959" max="1959" width="62.42578125" customWidth="1"/>
    <col min="1960" max="1960" width="2.42578125" customWidth="1"/>
    <col min="1961" max="1961" width="7" customWidth="1"/>
    <col min="1962" max="1962" width="11.42578125" customWidth="1"/>
    <col min="1963" max="1964" width="12.42578125" customWidth="1"/>
    <col min="1965" max="1967" width="8.42578125" customWidth="1"/>
    <col min="1968" max="1968" width="12.42578125" customWidth="1"/>
    <col min="1969" max="1970" width="8.42578125" customWidth="1"/>
    <col min="1971" max="1971" width="44" customWidth="1"/>
    <col min="1972" max="1972" width="10.42578125" customWidth="1"/>
    <col min="1973" max="1973" width="7.42578125" customWidth="1"/>
    <col min="1974" max="1974" width="11.42578125" customWidth="1"/>
    <col min="1975" max="1976" width="12.42578125" customWidth="1"/>
    <col min="1977" max="1977" width="11.42578125" customWidth="1"/>
    <col min="1978" max="1979" width="8.42578125" customWidth="1"/>
    <col min="1980" max="1980" width="17.42578125" customWidth="1"/>
    <col min="1981" max="1981" width="12.42578125" customWidth="1"/>
    <col min="1982" max="1983" width="8.42578125" customWidth="1"/>
    <col min="1984" max="1984" width="44" customWidth="1"/>
    <col min="1986" max="1986" width="7.42578125" customWidth="1"/>
    <col min="1987" max="1987" width="11.42578125" customWidth="1"/>
    <col min="1988" max="1989" width="12.42578125" customWidth="1"/>
    <col min="1990" max="1990" width="11.42578125" customWidth="1"/>
    <col min="1991" max="1992" width="8.42578125" customWidth="1"/>
    <col min="1993" max="1993" width="17.42578125" customWidth="1"/>
    <col min="1994" max="1994" width="12.42578125" customWidth="1"/>
    <col min="1995" max="1996" width="8.42578125" customWidth="1"/>
    <col min="1997" max="1997" width="44" customWidth="1"/>
    <col min="2000" max="2000" width="7.42578125" customWidth="1"/>
    <col min="2001" max="2001" width="11.42578125" customWidth="1"/>
    <col min="2002" max="2003" width="12.42578125" customWidth="1"/>
    <col min="2004" max="2004" width="11.42578125" customWidth="1"/>
    <col min="2005" max="2006" width="8.42578125" customWidth="1"/>
    <col min="2007" max="2007" width="17.42578125" customWidth="1"/>
    <col min="2008" max="2008" width="12.42578125" customWidth="1"/>
    <col min="2009" max="2010" width="8.42578125" customWidth="1"/>
    <col min="2011" max="2011" width="43.42578125" customWidth="1"/>
    <col min="2013" max="2013" width="7.42578125" customWidth="1"/>
    <col min="2014" max="2014" width="11.42578125" customWidth="1"/>
    <col min="2015" max="2016" width="12.42578125" customWidth="1"/>
    <col min="2017" max="2017" width="11.42578125" customWidth="1"/>
    <col min="2018" max="2018" width="8.42578125" customWidth="1"/>
    <col min="2019" max="2019" width="8.42578125" bestFit="1" customWidth="1"/>
    <col min="2020" max="2020" width="17.42578125" bestFit="1" customWidth="1"/>
    <col min="2021" max="2021" width="12.42578125" bestFit="1" customWidth="1"/>
    <col min="2022" max="2023" width="8.42578125" customWidth="1"/>
    <col min="2024" max="2024" width="44" customWidth="1"/>
    <col min="2210" max="2210" width="22.42578125" bestFit="1" customWidth="1"/>
    <col min="2211" max="2211" width="8.42578125" customWidth="1"/>
    <col min="2212" max="2212" width="29.42578125" customWidth="1"/>
    <col min="2213" max="2213" width="7" customWidth="1"/>
    <col min="2214" max="2214" width="22.42578125" bestFit="1" customWidth="1"/>
    <col min="2215" max="2215" width="62.42578125" customWidth="1"/>
    <col min="2216" max="2216" width="2.42578125" customWidth="1"/>
    <col min="2217" max="2217" width="7" customWidth="1"/>
    <col min="2218" max="2218" width="11.42578125" customWidth="1"/>
    <col min="2219" max="2220" width="12.42578125" customWidth="1"/>
    <col min="2221" max="2223" width="8.42578125" customWidth="1"/>
    <col min="2224" max="2224" width="12.42578125" customWidth="1"/>
    <col min="2225" max="2226" width="8.42578125" customWidth="1"/>
    <col min="2227" max="2227" width="44" customWidth="1"/>
    <col min="2228" max="2228" width="10.42578125" customWidth="1"/>
    <col min="2229" max="2229" width="7.42578125" customWidth="1"/>
    <col min="2230" max="2230" width="11.42578125" customWidth="1"/>
    <col min="2231" max="2232" width="12.42578125" customWidth="1"/>
    <col min="2233" max="2233" width="11.42578125" customWidth="1"/>
    <col min="2234" max="2235" width="8.42578125" customWidth="1"/>
    <col min="2236" max="2236" width="17.42578125" customWidth="1"/>
    <col min="2237" max="2237" width="12.42578125" customWidth="1"/>
    <col min="2238" max="2239" width="8.42578125" customWidth="1"/>
    <col min="2240" max="2240" width="44" customWidth="1"/>
    <col min="2242" max="2242" width="7.42578125" customWidth="1"/>
    <col min="2243" max="2243" width="11.42578125" customWidth="1"/>
    <col min="2244" max="2245" width="12.42578125" customWidth="1"/>
    <col min="2246" max="2246" width="11.42578125" customWidth="1"/>
    <col min="2247" max="2248" width="8.42578125" customWidth="1"/>
    <col min="2249" max="2249" width="17.42578125" customWidth="1"/>
    <col min="2250" max="2250" width="12.42578125" customWidth="1"/>
    <col min="2251" max="2252" width="8.42578125" customWidth="1"/>
    <col min="2253" max="2253" width="44" customWidth="1"/>
    <col min="2256" max="2256" width="7.42578125" customWidth="1"/>
    <col min="2257" max="2257" width="11.42578125" customWidth="1"/>
    <col min="2258" max="2259" width="12.42578125" customWidth="1"/>
    <col min="2260" max="2260" width="11.42578125" customWidth="1"/>
    <col min="2261" max="2262" width="8.42578125" customWidth="1"/>
    <col min="2263" max="2263" width="17.42578125" customWidth="1"/>
    <col min="2264" max="2264" width="12.42578125" customWidth="1"/>
    <col min="2265" max="2266" width="8.42578125" customWidth="1"/>
    <col min="2267" max="2267" width="43.42578125" customWidth="1"/>
    <col min="2269" max="2269" width="7.42578125" customWidth="1"/>
    <col min="2270" max="2270" width="11.42578125" customWidth="1"/>
    <col min="2271" max="2272" width="12.42578125" customWidth="1"/>
    <col min="2273" max="2273" width="11.42578125" customWidth="1"/>
    <col min="2274" max="2274" width="8.42578125" customWidth="1"/>
    <col min="2275" max="2275" width="8.42578125" bestFit="1" customWidth="1"/>
    <col min="2276" max="2276" width="17.42578125" bestFit="1" customWidth="1"/>
    <col min="2277" max="2277" width="12.42578125" bestFit="1" customWidth="1"/>
    <col min="2278" max="2279" width="8.42578125" customWidth="1"/>
    <col min="2280" max="2280" width="44" customWidth="1"/>
    <col min="2466" max="2466" width="22.42578125" bestFit="1" customWidth="1"/>
    <col min="2467" max="2467" width="8.42578125" customWidth="1"/>
    <col min="2468" max="2468" width="29.42578125" customWidth="1"/>
    <col min="2469" max="2469" width="7" customWidth="1"/>
    <col min="2470" max="2470" width="22.42578125" bestFit="1" customWidth="1"/>
    <col min="2471" max="2471" width="62.42578125" customWidth="1"/>
    <col min="2472" max="2472" width="2.42578125" customWidth="1"/>
    <col min="2473" max="2473" width="7" customWidth="1"/>
    <col min="2474" max="2474" width="11.42578125" customWidth="1"/>
    <col min="2475" max="2476" width="12.42578125" customWidth="1"/>
    <col min="2477" max="2479" width="8.42578125" customWidth="1"/>
    <col min="2480" max="2480" width="12.42578125" customWidth="1"/>
    <col min="2481" max="2482" width="8.42578125" customWidth="1"/>
    <col min="2483" max="2483" width="44" customWidth="1"/>
    <col min="2484" max="2484" width="10.42578125" customWidth="1"/>
    <col min="2485" max="2485" width="7.42578125" customWidth="1"/>
    <col min="2486" max="2486" width="11.42578125" customWidth="1"/>
    <col min="2487" max="2488" width="12.42578125" customWidth="1"/>
    <col min="2489" max="2489" width="11.42578125" customWidth="1"/>
    <col min="2490" max="2491" width="8.42578125" customWidth="1"/>
    <col min="2492" max="2492" width="17.42578125" customWidth="1"/>
    <col min="2493" max="2493" width="12.42578125" customWidth="1"/>
    <col min="2494" max="2495" width="8.42578125" customWidth="1"/>
    <col min="2496" max="2496" width="44" customWidth="1"/>
    <col min="2498" max="2498" width="7.42578125" customWidth="1"/>
    <col min="2499" max="2499" width="11.42578125" customWidth="1"/>
    <col min="2500" max="2501" width="12.42578125" customWidth="1"/>
    <col min="2502" max="2502" width="11.42578125" customWidth="1"/>
    <col min="2503" max="2504" width="8.42578125" customWidth="1"/>
    <col min="2505" max="2505" width="17.42578125" customWidth="1"/>
    <col min="2506" max="2506" width="12.42578125" customWidth="1"/>
    <col min="2507" max="2508" width="8.42578125" customWidth="1"/>
    <col min="2509" max="2509" width="44" customWidth="1"/>
    <col min="2512" max="2512" width="7.42578125" customWidth="1"/>
    <col min="2513" max="2513" width="11.42578125" customWidth="1"/>
    <col min="2514" max="2515" width="12.42578125" customWidth="1"/>
    <col min="2516" max="2516" width="11.42578125" customWidth="1"/>
    <col min="2517" max="2518" width="8.42578125" customWidth="1"/>
    <col min="2519" max="2519" width="17.42578125" customWidth="1"/>
    <col min="2520" max="2520" width="12.42578125" customWidth="1"/>
    <col min="2521" max="2522" width="8.42578125" customWidth="1"/>
    <col min="2523" max="2523" width="43.42578125" customWidth="1"/>
    <col min="2525" max="2525" width="7.42578125" customWidth="1"/>
    <col min="2526" max="2526" width="11.42578125" customWidth="1"/>
    <col min="2527" max="2528" width="12.42578125" customWidth="1"/>
    <col min="2529" max="2529" width="11.42578125" customWidth="1"/>
    <col min="2530" max="2530" width="8.42578125" customWidth="1"/>
    <col min="2531" max="2531" width="8.42578125" bestFit="1" customWidth="1"/>
    <col min="2532" max="2532" width="17.42578125" bestFit="1" customWidth="1"/>
    <col min="2533" max="2533" width="12.42578125" bestFit="1" customWidth="1"/>
    <col min="2534" max="2535" width="8.42578125" customWidth="1"/>
    <col min="2536" max="2536" width="44" customWidth="1"/>
    <col min="2722" max="2722" width="22.42578125" bestFit="1" customWidth="1"/>
    <col min="2723" max="2723" width="8.42578125" customWidth="1"/>
    <col min="2724" max="2724" width="29.42578125" customWidth="1"/>
    <col min="2725" max="2725" width="7" customWidth="1"/>
    <col min="2726" max="2726" width="22.42578125" bestFit="1" customWidth="1"/>
    <col min="2727" max="2727" width="62.42578125" customWidth="1"/>
    <col min="2728" max="2728" width="2.42578125" customWidth="1"/>
    <col min="2729" max="2729" width="7" customWidth="1"/>
    <col min="2730" max="2730" width="11.42578125" customWidth="1"/>
    <col min="2731" max="2732" width="12.42578125" customWidth="1"/>
    <col min="2733" max="2735" width="8.42578125" customWidth="1"/>
    <col min="2736" max="2736" width="12.42578125" customWidth="1"/>
    <col min="2737" max="2738" width="8.42578125" customWidth="1"/>
    <col min="2739" max="2739" width="44" customWidth="1"/>
    <col min="2740" max="2740" width="10.42578125" customWidth="1"/>
    <col min="2741" max="2741" width="7.42578125" customWidth="1"/>
    <col min="2742" max="2742" width="11.42578125" customWidth="1"/>
    <col min="2743" max="2744" width="12.42578125" customWidth="1"/>
    <col min="2745" max="2745" width="11.42578125" customWidth="1"/>
    <col min="2746" max="2747" width="8.42578125" customWidth="1"/>
    <col min="2748" max="2748" width="17.42578125" customWidth="1"/>
    <col min="2749" max="2749" width="12.42578125" customWidth="1"/>
    <col min="2750" max="2751" width="8.42578125" customWidth="1"/>
    <col min="2752" max="2752" width="44" customWidth="1"/>
    <col min="2754" max="2754" width="7.42578125" customWidth="1"/>
    <col min="2755" max="2755" width="11.42578125" customWidth="1"/>
    <col min="2756" max="2757" width="12.42578125" customWidth="1"/>
    <col min="2758" max="2758" width="11.42578125" customWidth="1"/>
    <col min="2759" max="2760" width="8.42578125" customWidth="1"/>
    <col min="2761" max="2761" width="17.42578125" customWidth="1"/>
    <col min="2762" max="2762" width="12.42578125" customWidth="1"/>
    <col min="2763" max="2764" width="8.42578125" customWidth="1"/>
    <col min="2765" max="2765" width="44" customWidth="1"/>
    <col min="2768" max="2768" width="7.42578125" customWidth="1"/>
    <col min="2769" max="2769" width="11.42578125" customWidth="1"/>
    <col min="2770" max="2771" width="12.42578125" customWidth="1"/>
    <col min="2772" max="2772" width="11.42578125" customWidth="1"/>
    <col min="2773" max="2774" width="8.42578125" customWidth="1"/>
    <col min="2775" max="2775" width="17.42578125" customWidth="1"/>
    <col min="2776" max="2776" width="12.42578125" customWidth="1"/>
    <col min="2777" max="2778" width="8.42578125" customWidth="1"/>
    <col min="2779" max="2779" width="43.42578125" customWidth="1"/>
    <col min="2781" max="2781" width="7.42578125" customWidth="1"/>
    <col min="2782" max="2782" width="11.42578125" customWidth="1"/>
    <col min="2783" max="2784" width="12.42578125" customWidth="1"/>
    <col min="2785" max="2785" width="11.42578125" customWidth="1"/>
    <col min="2786" max="2786" width="8.42578125" customWidth="1"/>
    <col min="2787" max="2787" width="8.42578125" bestFit="1" customWidth="1"/>
    <col min="2788" max="2788" width="17.42578125" bestFit="1" customWidth="1"/>
    <col min="2789" max="2789" width="12.42578125" bestFit="1" customWidth="1"/>
    <col min="2790" max="2791" width="8.42578125" customWidth="1"/>
    <col min="2792" max="2792" width="44" customWidth="1"/>
    <col min="2978" max="2978" width="22.42578125" bestFit="1" customWidth="1"/>
    <col min="2979" max="2979" width="8.42578125" customWidth="1"/>
    <col min="2980" max="2980" width="29.42578125" customWidth="1"/>
    <col min="2981" max="2981" width="7" customWidth="1"/>
    <col min="2982" max="2982" width="22.42578125" bestFit="1" customWidth="1"/>
    <col min="2983" max="2983" width="62.42578125" customWidth="1"/>
    <col min="2984" max="2984" width="2.42578125" customWidth="1"/>
    <col min="2985" max="2985" width="7" customWidth="1"/>
    <col min="2986" max="2986" width="11.42578125" customWidth="1"/>
    <col min="2987" max="2988" width="12.42578125" customWidth="1"/>
    <col min="2989" max="2991" width="8.42578125" customWidth="1"/>
    <col min="2992" max="2992" width="12.42578125" customWidth="1"/>
    <col min="2993" max="2994" width="8.42578125" customWidth="1"/>
    <col min="2995" max="2995" width="44" customWidth="1"/>
    <col min="2996" max="2996" width="10.42578125" customWidth="1"/>
    <col min="2997" max="2997" width="7.42578125" customWidth="1"/>
    <col min="2998" max="2998" width="11.42578125" customWidth="1"/>
    <col min="2999" max="3000" width="12.42578125" customWidth="1"/>
    <col min="3001" max="3001" width="11.42578125" customWidth="1"/>
    <col min="3002" max="3003" width="8.42578125" customWidth="1"/>
    <col min="3004" max="3004" width="17.42578125" customWidth="1"/>
    <col min="3005" max="3005" width="12.42578125" customWidth="1"/>
    <col min="3006" max="3007" width="8.42578125" customWidth="1"/>
    <col min="3008" max="3008" width="44" customWidth="1"/>
    <col min="3010" max="3010" width="7.42578125" customWidth="1"/>
    <col min="3011" max="3011" width="11.42578125" customWidth="1"/>
    <col min="3012" max="3013" width="12.42578125" customWidth="1"/>
    <col min="3014" max="3014" width="11.42578125" customWidth="1"/>
    <col min="3015" max="3016" width="8.42578125" customWidth="1"/>
    <col min="3017" max="3017" width="17.42578125" customWidth="1"/>
    <col min="3018" max="3018" width="12.42578125" customWidth="1"/>
    <col min="3019" max="3020" width="8.42578125" customWidth="1"/>
    <col min="3021" max="3021" width="44" customWidth="1"/>
    <col min="3024" max="3024" width="7.42578125" customWidth="1"/>
    <col min="3025" max="3025" width="11.42578125" customWidth="1"/>
    <col min="3026" max="3027" width="12.42578125" customWidth="1"/>
    <col min="3028" max="3028" width="11.42578125" customWidth="1"/>
    <col min="3029" max="3030" width="8.42578125" customWidth="1"/>
    <col min="3031" max="3031" width="17.42578125" customWidth="1"/>
    <col min="3032" max="3032" width="12.42578125" customWidth="1"/>
    <col min="3033" max="3034" width="8.42578125" customWidth="1"/>
    <col min="3035" max="3035" width="43.42578125" customWidth="1"/>
    <col min="3037" max="3037" width="7.42578125" customWidth="1"/>
    <col min="3038" max="3038" width="11.42578125" customWidth="1"/>
    <col min="3039" max="3040" width="12.42578125" customWidth="1"/>
    <col min="3041" max="3041" width="11.42578125" customWidth="1"/>
    <col min="3042" max="3042" width="8.42578125" customWidth="1"/>
    <col min="3043" max="3043" width="8.42578125" bestFit="1" customWidth="1"/>
    <col min="3044" max="3044" width="17.42578125" bestFit="1" customWidth="1"/>
    <col min="3045" max="3045" width="12.42578125" bestFit="1" customWidth="1"/>
    <col min="3046" max="3047" width="8.42578125" customWidth="1"/>
    <col min="3048" max="3048" width="44" customWidth="1"/>
    <col min="3234" max="3234" width="22.42578125" bestFit="1" customWidth="1"/>
    <col min="3235" max="3235" width="8.42578125" customWidth="1"/>
    <col min="3236" max="3236" width="29.42578125" customWidth="1"/>
    <col min="3237" max="3237" width="7" customWidth="1"/>
    <col min="3238" max="3238" width="22.42578125" bestFit="1" customWidth="1"/>
    <col min="3239" max="3239" width="62.42578125" customWidth="1"/>
    <col min="3240" max="3240" width="2.42578125" customWidth="1"/>
    <col min="3241" max="3241" width="7" customWidth="1"/>
    <col min="3242" max="3242" width="11.42578125" customWidth="1"/>
    <col min="3243" max="3244" width="12.42578125" customWidth="1"/>
    <col min="3245" max="3247" width="8.42578125" customWidth="1"/>
    <col min="3248" max="3248" width="12.42578125" customWidth="1"/>
    <col min="3249" max="3250" width="8.42578125" customWidth="1"/>
    <col min="3251" max="3251" width="44" customWidth="1"/>
    <col min="3252" max="3252" width="10.42578125" customWidth="1"/>
    <col min="3253" max="3253" width="7.42578125" customWidth="1"/>
    <col min="3254" max="3254" width="11.42578125" customWidth="1"/>
    <col min="3255" max="3256" width="12.42578125" customWidth="1"/>
    <col min="3257" max="3257" width="11.42578125" customWidth="1"/>
    <col min="3258" max="3259" width="8.42578125" customWidth="1"/>
    <col min="3260" max="3260" width="17.42578125" customWidth="1"/>
    <col min="3261" max="3261" width="12.42578125" customWidth="1"/>
    <col min="3262" max="3263" width="8.42578125" customWidth="1"/>
    <col min="3264" max="3264" width="44" customWidth="1"/>
    <col min="3266" max="3266" width="7.42578125" customWidth="1"/>
    <col min="3267" max="3267" width="11.42578125" customWidth="1"/>
    <col min="3268" max="3269" width="12.42578125" customWidth="1"/>
    <col min="3270" max="3270" width="11.42578125" customWidth="1"/>
    <col min="3271" max="3272" width="8.42578125" customWidth="1"/>
    <col min="3273" max="3273" width="17.42578125" customWidth="1"/>
    <col min="3274" max="3274" width="12.42578125" customWidth="1"/>
    <col min="3275" max="3276" width="8.42578125" customWidth="1"/>
    <col min="3277" max="3277" width="44" customWidth="1"/>
    <col min="3280" max="3280" width="7.42578125" customWidth="1"/>
    <col min="3281" max="3281" width="11.42578125" customWidth="1"/>
    <col min="3282" max="3283" width="12.42578125" customWidth="1"/>
    <col min="3284" max="3284" width="11.42578125" customWidth="1"/>
    <col min="3285" max="3286" width="8.42578125" customWidth="1"/>
    <col min="3287" max="3287" width="17.42578125" customWidth="1"/>
    <col min="3288" max="3288" width="12.42578125" customWidth="1"/>
    <col min="3289" max="3290" width="8.42578125" customWidth="1"/>
    <col min="3291" max="3291" width="43.42578125" customWidth="1"/>
    <col min="3293" max="3293" width="7.42578125" customWidth="1"/>
    <col min="3294" max="3294" width="11.42578125" customWidth="1"/>
    <col min="3295" max="3296" width="12.42578125" customWidth="1"/>
    <col min="3297" max="3297" width="11.42578125" customWidth="1"/>
    <col min="3298" max="3298" width="8.42578125" customWidth="1"/>
    <col min="3299" max="3299" width="8.42578125" bestFit="1" customWidth="1"/>
    <col min="3300" max="3300" width="17.42578125" bestFit="1" customWidth="1"/>
    <col min="3301" max="3301" width="12.42578125" bestFit="1" customWidth="1"/>
    <col min="3302" max="3303" width="8.42578125" customWidth="1"/>
    <col min="3304" max="3304" width="44" customWidth="1"/>
    <col min="3490" max="3490" width="22.42578125" bestFit="1" customWidth="1"/>
    <col min="3491" max="3491" width="8.42578125" customWidth="1"/>
    <col min="3492" max="3492" width="29.42578125" customWidth="1"/>
    <col min="3493" max="3493" width="7" customWidth="1"/>
    <col min="3494" max="3494" width="22.42578125" bestFit="1" customWidth="1"/>
    <col min="3495" max="3495" width="62.42578125" customWidth="1"/>
    <col min="3496" max="3496" width="2.42578125" customWidth="1"/>
    <col min="3497" max="3497" width="7" customWidth="1"/>
    <col min="3498" max="3498" width="11.42578125" customWidth="1"/>
    <col min="3499" max="3500" width="12.42578125" customWidth="1"/>
    <col min="3501" max="3503" width="8.42578125" customWidth="1"/>
    <col min="3504" max="3504" width="12.42578125" customWidth="1"/>
    <col min="3505" max="3506" width="8.42578125" customWidth="1"/>
    <col min="3507" max="3507" width="44" customWidth="1"/>
    <col min="3508" max="3508" width="10.42578125" customWidth="1"/>
    <col min="3509" max="3509" width="7.42578125" customWidth="1"/>
    <col min="3510" max="3510" width="11.42578125" customWidth="1"/>
    <col min="3511" max="3512" width="12.42578125" customWidth="1"/>
    <col min="3513" max="3513" width="11.42578125" customWidth="1"/>
    <col min="3514" max="3515" width="8.42578125" customWidth="1"/>
    <col min="3516" max="3516" width="17.42578125" customWidth="1"/>
    <col min="3517" max="3517" width="12.42578125" customWidth="1"/>
    <col min="3518" max="3519" width="8.42578125" customWidth="1"/>
    <col min="3520" max="3520" width="44" customWidth="1"/>
    <col min="3522" max="3522" width="7.42578125" customWidth="1"/>
    <col min="3523" max="3523" width="11.42578125" customWidth="1"/>
    <col min="3524" max="3525" width="12.42578125" customWidth="1"/>
    <col min="3526" max="3526" width="11.42578125" customWidth="1"/>
    <col min="3527" max="3528" width="8.42578125" customWidth="1"/>
    <col min="3529" max="3529" width="17.42578125" customWidth="1"/>
    <col min="3530" max="3530" width="12.42578125" customWidth="1"/>
    <col min="3531" max="3532" width="8.42578125" customWidth="1"/>
    <col min="3533" max="3533" width="44" customWidth="1"/>
    <col min="3536" max="3536" width="7.42578125" customWidth="1"/>
    <col min="3537" max="3537" width="11.42578125" customWidth="1"/>
    <col min="3538" max="3539" width="12.42578125" customWidth="1"/>
    <col min="3540" max="3540" width="11.42578125" customWidth="1"/>
    <col min="3541" max="3542" width="8.42578125" customWidth="1"/>
    <col min="3543" max="3543" width="17.42578125" customWidth="1"/>
    <col min="3544" max="3544" width="12.42578125" customWidth="1"/>
    <col min="3545" max="3546" width="8.42578125" customWidth="1"/>
    <col min="3547" max="3547" width="43.42578125" customWidth="1"/>
    <col min="3549" max="3549" width="7.42578125" customWidth="1"/>
    <col min="3550" max="3550" width="11.42578125" customWidth="1"/>
    <col min="3551" max="3552" width="12.42578125" customWidth="1"/>
    <col min="3553" max="3553" width="11.42578125" customWidth="1"/>
    <col min="3554" max="3554" width="8.42578125" customWidth="1"/>
    <col min="3555" max="3555" width="8.42578125" bestFit="1" customWidth="1"/>
    <col min="3556" max="3556" width="17.42578125" bestFit="1" customWidth="1"/>
    <col min="3557" max="3557" width="12.42578125" bestFit="1" customWidth="1"/>
    <col min="3558" max="3559" width="8.42578125" customWidth="1"/>
    <col min="3560" max="3560" width="44" customWidth="1"/>
    <col min="3746" max="3746" width="22.42578125" bestFit="1" customWidth="1"/>
    <col min="3747" max="3747" width="8.42578125" customWidth="1"/>
    <col min="3748" max="3748" width="29.42578125" customWidth="1"/>
    <col min="3749" max="3749" width="7" customWidth="1"/>
    <col min="3750" max="3750" width="22.42578125" bestFit="1" customWidth="1"/>
    <col min="3751" max="3751" width="62.42578125" customWidth="1"/>
    <col min="3752" max="3752" width="2.42578125" customWidth="1"/>
    <col min="3753" max="3753" width="7" customWidth="1"/>
    <col min="3754" max="3754" width="11.42578125" customWidth="1"/>
    <col min="3755" max="3756" width="12.42578125" customWidth="1"/>
    <col min="3757" max="3759" width="8.42578125" customWidth="1"/>
    <col min="3760" max="3760" width="12.42578125" customWidth="1"/>
    <col min="3761" max="3762" width="8.42578125" customWidth="1"/>
    <col min="3763" max="3763" width="44" customWidth="1"/>
    <col min="3764" max="3764" width="10.42578125" customWidth="1"/>
    <col min="3765" max="3765" width="7.42578125" customWidth="1"/>
    <col min="3766" max="3766" width="11.42578125" customWidth="1"/>
    <col min="3767" max="3768" width="12.42578125" customWidth="1"/>
    <col min="3769" max="3769" width="11.42578125" customWidth="1"/>
    <col min="3770" max="3771" width="8.42578125" customWidth="1"/>
    <col min="3772" max="3772" width="17.42578125" customWidth="1"/>
    <col min="3773" max="3773" width="12.42578125" customWidth="1"/>
    <col min="3774" max="3775" width="8.42578125" customWidth="1"/>
    <col min="3776" max="3776" width="44" customWidth="1"/>
    <col min="3778" max="3778" width="7.42578125" customWidth="1"/>
    <col min="3779" max="3779" width="11.42578125" customWidth="1"/>
    <col min="3780" max="3781" width="12.42578125" customWidth="1"/>
    <col min="3782" max="3782" width="11.42578125" customWidth="1"/>
    <col min="3783" max="3784" width="8.42578125" customWidth="1"/>
    <col min="3785" max="3785" width="17.42578125" customWidth="1"/>
    <col min="3786" max="3786" width="12.42578125" customWidth="1"/>
    <col min="3787" max="3788" width="8.42578125" customWidth="1"/>
    <col min="3789" max="3789" width="44" customWidth="1"/>
    <col min="3792" max="3792" width="7.42578125" customWidth="1"/>
    <col min="3793" max="3793" width="11.42578125" customWidth="1"/>
    <col min="3794" max="3795" width="12.42578125" customWidth="1"/>
    <col min="3796" max="3796" width="11.42578125" customWidth="1"/>
    <col min="3797" max="3798" width="8.42578125" customWidth="1"/>
    <col min="3799" max="3799" width="17.42578125" customWidth="1"/>
    <col min="3800" max="3800" width="12.42578125" customWidth="1"/>
    <col min="3801" max="3802" width="8.42578125" customWidth="1"/>
    <col min="3803" max="3803" width="43.42578125" customWidth="1"/>
    <col min="3805" max="3805" width="7.42578125" customWidth="1"/>
    <col min="3806" max="3806" width="11.42578125" customWidth="1"/>
    <col min="3807" max="3808" width="12.42578125" customWidth="1"/>
    <col min="3809" max="3809" width="11.42578125" customWidth="1"/>
    <col min="3810" max="3810" width="8.42578125" customWidth="1"/>
    <col min="3811" max="3811" width="8.42578125" bestFit="1" customWidth="1"/>
    <col min="3812" max="3812" width="17.42578125" bestFit="1" customWidth="1"/>
    <col min="3813" max="3813" width="12.42578125" bestFit="1" customWidth="1"/>
    <col min="3814" max="3815" width="8.42578125" customWidth="1"/>
    <col min="3816" max="3816" width="44" customWidth="1"/>
    <col min="4002" max="4002" width="22.42578125" bestFit="1" customWidth="1"/>
    <col min="4003" max="4003" width="8.42578125" customWidth="1"/>
    <col min="4004" max="4004" width="29.42578125" customWidth="1"/>
    <col min="4005" max="4005" width="7" customWidth="1"/>
    <col min="4006" max="4006" width="22.42578125" bestFit="1" customWidth="1"/>
    <col min="4007" max="4007" width="62.42578125" customWidth="1"/>
    <col min="4008" max="4008" width="2.42578125" customWidth="1"/>
    <col min="4009" max="4009" width="7" customWidth="1"/>
    <col min="4010" max="4010" width="11.42578125" customWidth="1"/>
    <col min="4011" max="4012" width="12.42578125" customWidth="1"/>
    <col min="4013" max="4015" width="8.42578125" customWidth="1"/>
    <col min="4016" max="4016" width="12.42578125" customWidth="1"/>
    <col min="4017" max="4018" width="8.42578125" customWidth="1"/>
    <col min="4019" max="4019" width="44" customWidth="1"/>
    <col min="4020" max="4020" width="10.42578125" customWidth="1"/>
    <col min="4021" max="4021" width="7.42578125" customWidth="1"/>
    <col min="4022" max="4022" width="11.42578125" customWidth="1"/>
    <col min="4023" max="4024" width="12.42578125" customWidth="1"/>
    <col min="4025" max="4025" width="11.42578125" customWidth="1"/>
    <col min="4026" max="4027" width="8.42578125" customWidth="1"/>
    <col min="4028" max="4028" width="17.42578125" customWidth="1"/>
    <col min="4029" max="4029" width="12.42578125" customWidth="1"/>
    <col min="4030" max="4031" width="8.42578125" customWidth="1"/>
    <col min="4032" max="4032" width="44" customWidth="1"/>
    <col min="4034" max="4034" width="7.42578125" customWidth="1"/>
    <col min="4035" max="4035" width="11.42578125" customWidth="1"/>
    <col min="4036" max="4037" width="12.42578125" customWidth="1"/>
    <col min="4038" max="4038" width="11.42578125" customWidth="1"/>
    <col min="4039" max="4040" width="8.42578125" customWidth="1"/>
    <col min="4041" max="4041" width="17.42578125" customWidth="1"/>
    <col min="4042" max="4042" width="12.42578125" customWidth="1"/>
    <col min="4043" max="4044" width="8.42578125" customWidth="1"/>
    <col min="4045" max="4045" width="44" customWidth="1"/>
    <col min="4048" max="4048" width="7.42578125" customWidth="1"/>
    <col min="4049" max="4049" width="11.42578125" customWidth="1"/>
    <col min="4050" max="4051" width="12.42578125" customWidth="1"/>
    <col min="4052" max="4052" width="11.42578125" customWidth="1"/>
    <col min="4053" max="4054" width="8.42578125" customWidth="1"/>
    <col min="4055" max="4055" width="17.42578125" customWidth="1"/>
    <col min="4056" max="4056" width="12.42578125" customWidth="1"/>
    <col min="4057" max="4058" width="8.42578125" customWidth="1"/>
    <col min="4059" max="4059" width="43.42578125" customWidth="1"/>
    <col min="4061" max="4061" width="7.42578125" customWidth="1"/>
    <col min="4062" max="4062" width="11.42578125" customWidth="1"/>
    <col min="4063" max="4064" width="12.42578125" customWidth="1"/>
    <col min="4065" max="4065" width="11.42578125" customWidth="1"/>
    <col min="4066" max="4066" width="8.42578125" customWidth="1"/>
    <col min="4067" max="4067" width="8.42578125" bestFit="1" customWidth="1"/>
    <col min="4068" max="4068" width="17.42578125" bestFit="1" customWidth="1"/>
    <col min="4069" max="4069" width="12.42578125" bestFit="1" customWidth="1"/>
    <col min="4070" max="4071" width="8.42578125" customWidth="1"/>
    <col min="4072" max="4072" width="44" customWidth="1"/>
    <col min="4258" max="4258" width="22.42578125" bestFit="1" customWidth="1"/>
    <col min="4259" max="4259" width="8.42578125" customWidth="1"/>
    <col min="4260" max="4260" width="29.42578125" customWidth="1"/>
    <col min="4261" max="4261" width="7" customWidth="1"/>
    <col min="4262" max="4262" width="22.42578125" bestFit="1" customWidth="1"/>
    <col min="4263" max="4263" width="62.42578125" customWidth="1"/>
    <col min="4264" max="4264" width="2.42578125" customWidth="1"/>
    <col min="4265" max="4265" width="7" customWidth="1"/>
    <col min="4266" max="4266" width="11.42578125" customWidth="1"/>
    <col min="4267" max="4268" width="12.42578125" customWidth="1"/>
    <col min="4269" max="4271" width="8.42578125" customWidth="1"/>
    <col min="4272" max="4272" width="12.42578125" customWidth="1"/>
    <col min="4273" max="4274" width="8.42578125" customWidth="1"/>
    <col min="4275" max="4275" width="44" customWidth="1"/>
    <col min="4276" max="4276" width="10.42578125" customWidth="1"/>
    <col min="4277" max="4277" width="7.42578125" customWidth="1"/>
    <col min="4278" max="4278" width="11.42578125" customWidth="1"/>
    <col min="4279" max="4280" width="12.42578125" customWidth="1"/>
    <col min="4281" max="4281" width="11.42578125" customWidth="1"/>
    <col min="4282" max="4283" width="8.42578125" customWidth="1"/>
    <col min="4284" max="4284" width="17.42578125" customWidth="1"/>
    <col min="4285" max="4285" width="12.42578125" customWidth="1"/>
    <col min="4286" max="4287" width="8.42578125" customWidth="1"/>
    <col min="4288" max="4288" width="44" customWidth="1"/>
    <col min="4290" max="4290" width="7.42578125" customWidth="1"/>
    <col min="4291" max="4291" width="11.42578125" customWidth="1"/>
    <col min="4292" max="4293" width="12.42578125" customWidth="1"/>
    <col min="4294" max="4294" width="11.42578125" customWidth="1"/>
    <col min="4295" max="4296" width="8.42578125" customWidth="1"/>
    <col min="4297" max="4297" width="17.42578125" customWidth="1"/>
    <col min="4298" max="4298" width="12.42578125" customWidth="1"/>
    <col min="4299" max="4300" width="8.42578125" customWidth="1"/>
    <col min="4301" max="4301" width="44" customWidth="1"/>
    <col min="4304" max="4304" width="7.42578125" customWidth="1"/>
    <col min="4305" max="4305" width="11.42578125" customWidth="1"/>
    <col min="4306" max="4307" width="12.42578125" customWidth="1"/>
    <col min="4308" max="4308" width="11.42578125" customWidth="1"/>
    <col min="4309" max="4310" width="8.42578125" customWidth="1"/>
    <col min="4311" max="4311" width="17.42578125" customWidth="1"/>
    <col min="4312" max="4312" width="12.42578125" customWidth="1"/>
    <col min="4313" max="4314" width="8.42578125" customWidth="1"/>
    <col min="4315" max="4315" width="43.42578125" customWidth="1"/>
    <col min="4317" max="4317" width="7.42578125" customWidth="1"/>
    <col min="4318" max="4318" width="11.42578125" customWidth="1"/>
    <col min="4319" max="4320" width="12.42578125" customWidth="1"/>
    <col min="4321" max="4321" width="11.42578125" customWidth="1"/>
    <col min="4322" max="4322" width="8.42578125" customWidth="1"/>
    <col min="4323" max="4323" width="8.42578125" bestFit="1" customWidth="1"/>
    <col min="4324" max="4324" width="17.42578125" bestFit="1" customWidth="1"/>
    <col min="4325" max="4325" width="12.42578125" bestFit="1" customWidth="1"/>
    <col min="4326" max="4327" width="8.42578125" customWidth="1"/>
    <col min="4328" max="4328" width="44" customWidth="1"/>
    <col min="4514" max="4514" width="22.42578125" bestFit="1" customWidth="1"/>
    <col min="4515" max="4515" width="8.42578125" customWidth="1"/>
    <col min="4516" max="4516" width="29.42578125" customWidth="1"/>
    <col min="4517" max="4517" width="7" customWidth="1"/>
    <col min="4518" max="4518" width="22.42578125" bestFit="1" customWidth="1"/>
    <col min="4519" max="4519" width="62.42578125" customWidth="1"/>
    <col min="4520" max="4520" width="2.42578125" customWidth="1"/>
    <col min="4521" max="4521" width="7" customWidth="1"/>
    <col min="4522" max="4522" width="11.42578125" customWidth="1"/>
    <col min="4523" max="4524" width="12.42578125" customWidth="1"/>
    <col min="4525" max="4527" width="8.42578125" customWidth="1"/>
    <col min="4528" max="4528" width="12.42578125" customWidth="1"/>
    <col min="4529" max="4530" width="8.42578125" customWidth="1"/>
    <col min="4531" max="4531" width="44" customWidth="1"/>
    <col min="4532" max="4532" width="10.42578125" customWidth="1"/>
    <col min="4533" max="4533" width="7.42578125" customWidth="1"/>
    <col min="4534" max="4534" width="11.42578125" customWidth="1"/>
    <col min="4535" max="4536" width="12.42578125" customWidth="1"/>
    <col min="4537" max="4537" width="11.42578125" customWidth="1"/>
    <col min="4538" max="4539" width="8.42578125" customWidth="1"/>
    <col min="4540" max="4540" width="17.42578125" customWidth="1"/>
    <col min="4541" max="4541" width="12.42578125" customWidth="1"/>
    <col min="4542" max="4543" width="8.42578125" customWidth="1"/>
    <col min="4544" max="4544" width="44" customWidth="1"/>
    <col min="4546" max="4546" width="7.42578125" customWidth="1"/>
    <col min="4547" max="4547" width="11.42578125" customWidth="1"/>
    <col min="4548" max="4549" width="12.42578125" customWidth="1"/>
    <col min="4550" max="4550" width="11.42578125" customWidth="1"/>
    <col min="4551" max="4552" width="8.42578125" customWidth="1"/>
    <col min="4553" max="4553" width="17.42578125" customWidth="1"/>
    <col min="4554" max="4554" width="12.42578125" customWidth="1"/>
    <col min="4555" max="4556" width="8.42578125" customWidth="1"/>
    <col min="4557" max="4557" width="44" customWidth="1"/>
    <col min="4560" max="4560" width="7.42578125" customWidth="1"/>
    <col min="4561" max="4561" width="11.42578125" customWidth="1"/>
    <col min="4562" max="4563" width="12.42578125" customWidth="1"/>
    <col min="4564" max="4564" width="11.42578125" customWidth="1"/>
    <col min="4565" max="4566" width="8.42578125" customWidth="1"/>
    <col min="4567" max="4567" width="17.42578125" customWidth="1"/>
    <col min="4568" max="4568" width="12.42578125" customWidth="1"/>
    <col min="4569" max="4570" width="8.42578125" customWidth="1"/>
    <col min="4571" max="4571" width="43.42578125" customWidth="1"/>
    <col min="4573" max="4573" width="7.42578125" customWidth="1"/>
    <col min="4574" max="4574" width="11.42578125" customWidth="1"/>
    <col min="4575" max="4576" width="12.42578125" customWidth="1"/>
    <col min="4577" max="4577" width="11.42578125" customWidth="1"/>
    <col min="4578" max="4578" width="8.42578125" customWidth="1"/>
    <col min="4579" max="4579" width="8.42578125" bestFit="1" customWidth="1"/>
    <col min="4580" max="4580" width="17.42578125" bestFit="1" customWidth="1"/>
    <col min="4581" max="4581" width="12.42578125" bestFit="1" customWidth="1"/>
    <col min="4582" max="4583" width="8.42578125" customWidth="1"/>
    <col min="4584" max="4584" width="44" customWidth="1"/>
    <col min="4770" max="4770" width="22.42578125" bestFit="1" customWidth="1"/>
    <col min="4771" max="4771" width="8.42578125" customWidth="1"/>
    <col min="4772" max="4772" width="29.42578125" customWidth="1"/>
    <col min="4773" max="4773" width="7" customWidth="1"/>
    <col min="4774" max="4774" width="22.42578125" bestFit="1" customWidth="1"/>
    <col min="4775" max="4775" width="62.42578125" customWidth="1"/>
    <col min="4776" max="4776" width="2.42578125" customWidth="1"/>
    <col min="4777" max="4777" width="7" customWidth="1"/>
    <col min="4778" max="4778" width="11.42578125" customWidth="1"/>
    <col min="4779" max="4780" width="12.42578125" customWidth="1"/>
    <col min="4781" max="4783" width="8.42578125" customWidth="1"/>
    <col min="4784" max="4784" width="12.42578125" customWidth="1"/>
    <col min="4785" max="4786" width="8.42578125" customWidth="1"/>
    <col min="4787" max="4787" width="44" customWidth="1"/>
    <col min="4788" max="4788" width="10.42578125" customWidth="1"/>
    <col min="4789" max="4789" width="7.42578125" customWidth="1"/>
    <col min="4790" max="4790" width="11.42578125" customWidth="1"/>
    <col min="4791" max="4792" width="12.42578125" customWidth="1"/>
    <col min="4793" max="4793" width="11.42578125" customWidth="1"/>
    <col min="4794" max="4795" width="8.42578125" customWidth="1"/>
    <col min="4796" max="4796" width="17.42578125" customWidth="1"/>
    <col min="4797" max="4797" width="12.42578125" customWidth="1"/>
    <col min="4798" max="4799" width="8.42578125" customWidth="1"/>
    <col min="4800" max="4800" width="44" customWidth="1"/>
    <col min="4802" max="4802" width="7.42578125" customWidth="1"/>
    <col min="4803" max="4803" width="11.42578125" customWidth="1"/>
    <col min="4804" max="4805" width="12.42578125" customWidth="1"/>
    <col min="4806" max="4806" width="11.42578125" customWidth="1"/>
    <col min="4807" max="4808" width="8.42578125" customWidth="1"/>
    <col min="4809" max="4809" width="17.42578125" customWidth="1"/>
    <col min="4810" max="4810" width="12.42578125" customWidth="1"/>
    <col min="4811" max="4812" width="8.42578125" customWidth="1"/>
    <col min="4813" max="4813" width="44" customWidth="1"/>
    <col min="4816" max="4816" width="7.42578125" customWidth="1"/>
    <col min="4817" max="4817" width="11.42578125" customWidth="1"/>
    <col min="4818" max="4819" width="12.42578125" customWidth="1"/>
    <col min="4820" max="4820" width="11.42578125" customWidth="1"/>
    <col min="4821" max="4822" width="8.42578125" customWidth="1"/>
    <col min="4823" max="4823" width="17.42578125" customWidth="1"/>
    <col min="4824" max="4824" width="12.42578125" customWidth="1"/>
    <col min="4825" max="4826" width="8.42578125" customWidth="1"/>
    <col min="4827" max="4827" width="43.42578125" customWidth="1"/>
    <col min="4829" max="4829" width="7.42578125" customWidth="1"/>
    <col min="4830" max="4830" width="11.42578125" customWidth="1"/>
    <col min="4831" max="4832" width="12.42578125" customWidth="1"/>
    <col min="4833" max="4833" width="11.42578125" customWidth="1"/>
    <col min="4834" max="4834" width="8.42578125" customWidth="1"/>
    <col min="4835" max="4835" width="8.42578125" bestFit="1" customWidth="1"/>
    <col min="4836" max="4836" width="17.42578125" bestFit="1" customWidth="1"/>
    <col min="4837" max="4837" width="12.42578125" bestFit="1" customWidth="1"/>
    <col min="4838" max="4839" width="8.42578125" customWidth="1"/>
    <col min="4840" max="4840" width="44" customWidth="1"/>
    <col min="5026" max="5026" width="22.42578125" bestFit="1" customWidth="1"/>
    <col min="5027" max="5027" width="8.42578125" customWidth="1"/>
    <col min="5028" max="5028" width="29.42578125" customWidth="1"/>
    <col min="5029" max="5029" width="7" customWidth="1"/>
    <col min="5030" max="5030" width="22.42578125" bestFit="1" customWidth="1"/>
    <col min="5031" max="5031" width="62.42578125" customWidth="1"/>
    <col min="5032" max="5032" width="2.42578125" customWidth="1"/>
    <col min="5033" max="5033" width="7" customWidth="1"/>
    <col min="5034" max="5034" width="11.42578125" customWidth="1"/>
    <col min="5035" max="5036" width="12.42578125" customWidth="1"/>
    <col min="5037" max="5039" width="8.42578125" customWidth="1"/>
    <col min="5040" max="5040" width="12.42578125" customWidth="1"/>
    <col min="5041" max="5042" width="8.42578125" customWidth="1"/>
    <col min="5043" max="5043" width="44" customWidth="1"/>
    <col min="5044" max="5044" width="10.42578125" customWidth="1"/>
    <col min="5045" max="5045" width="7.42578125" customWidth="1"/>
    <col min="5046" max="5046" width="11.42578125" customWidth="1"/>
    <col min="5047" max="5048" width="12.42578125" customWidth="1"/>
    <col min="5049" max="5049" width="11.42578125" customWidth="1"/>
    <col min="5050" max="5051" width="8.42578125" customWidth="1"/>
    <col min="5052" max="5052" width="17.42578125" customWidth="1"/>
    <col min="5053" max="5053" width="12.42578125" customWidth="1"/>
    <col min="5054" max="5055" width="8.42578125" customWidth="1"/>
    <col min="5056" max="5056" width="44" customWidth="1"/>
    <col min="5058" max="5058" width="7.42578125" customWidth="1"/>
    <col min="5059" max="5059" width="11.42578125" customWidth="1"/>
    <col min="5060" max="5061" width="12.42578125" customWidth="1"/>
    <col min="5062" max="5062" width="11.42578125" customWidth="1"/>
    <col min="5063" max="5064" width="8.42578125" customWidth="1"/>
    <col min="5065" max="5065" width="17.42578125" customWidth="1"/>
    <col min="5066" max="5066" width="12.42578125" customWidth="1"/>
    <col min="5067" max="5068" width="8.42578125" customWidth="1"/>
    <col min="5069" max="5069" width="44" customWidth="1"/>
    <col min="5072" max="5072" width="7.42578125" customWidth="1"/>
    <col min="5073" max="5073" width="11.42578125" customWidth="1"/>
    <col min="5074" max="5075" width="12.42578125" customWidth="1"/>
    <col min="5076" max="5076" width="11.42578125" customWidth="1"/>
    <col min="5077" max="5078" width="8.42578125" customWidth="1"/>
    <col min="5079" max="5079" width="17.42578125" customWidth="1"/>
    <col min="5080" max="5080" width="12.42578125" customWidth="1"/>
    <col min="5081" max="5082" width="8.42578125" customWidth="1"/>
    <col min="5083" max="5083" width="43.42578125" customWidth="1"/>
    <col min="5085" max="5085" width="7.42578125" customWidth="1"/>
    <col min="5086" max="5086" width="11.42578125" customWidth="1"/>
    <col min="5087" max="5088" width="12.42578125" customWidth="1"/>
    <col min="5089" max="5089" width="11.42578125" customWidth="1"/>
    <col min="5090" max="5090" width="8.42578125" customWidth="1"/>
    <col min="5091" max="5091" width="8.42578125" bestFit="1" customWidth="1"/>
    <col min="5092" max="5092" width="17.42578125" bestFit="1" customWidth="1"/>
    <col min="5093" max="5093" width="12.42578125" bestFit="1" customWidth="1"/>
    <col min="5094" max="5095" width="8.42578125" customWidth="1"/>
    <col min="5096" max="5096" width="44" customWidth="1"/>
    <col min="5282" max="5282" width="22.42578125" bestFit="1" customWidth="1"/>
    <col min="5283" max="5283" width="8.42578125" customWidth="1"/>
    <col min="5284" max="5284" width="29.42578125" customWidth="1"/>
    <col min="5285" max="5285" width="7" customWidth="1"/>
    <col min="5286" max="5286" width="22.42578125" bestFit="1" customWidth="1"/>
    <col min="5287" max="5287" width="62.42578125" customWidth="1"/>
    <col min="5288" max="5288" width="2.42578125" customWidth="1"/>
    <col min="5289" max="5289" width="7" customWidth="1"/>
    <col min="5290" max="5290" width="11.42578125" customWidth="1"/>
    <col min="5291" max="5292" width="12.42578125" customWidth="1"/>
    <col min="5293" max="5295" width="8.42578125" customWidth="1"/>
    <col min="5296" max="5296" width="12.42578125" customWidth="1"/>
    <col min="5297" max="5298" width="8.42578125" customWidth="1"/>
    <col min="5299" max="5299" width="44" customWidth="1"/>
    <col min="5300" max="5300" width="10.42578125" customWidth="1"/>
    <col min="5301" max="5301" width="7.42578125" customWidth="1"/>
    <col min="5302" max="5302" width="11.42578125" customWidth="1"/>
    <col min="5303" max="5304" width="12.42578125" customWidth="1"/>
    <col min="5305" max="5305" width="11.42578125" customWidth="1"/>
    <col min="5306" max="5307" width="8.42578125" customWidth="1"/>
    <col min="5308" max="5308" width="17.42578125" customWidth="1"/>
    <col min="5309" max="5309" width="12.42578125" customWidth="1"/>
    <col min="5310" max="5311" width="8.42578125" customWidth="1"/>
    <col min="5312" max="5312" width="44" customWidth="1"/>
    <col min="5314" max="5314" width="7.42578125" customWidth="1"/>
    <col min="5315" max="5315" width="11.42578125" customWidth="1"/>
    <col min="5316" max="5317" width="12.42578125" customWidth="1"/>
    <col min="5318" max="5318" width="11.42578125" customWidth="1"/>
    <col min="5319" max="5320" width="8.42578125" customWidth="1"/>
    <col min="5321" max="5321" width="17.42578125" customWidth="1"/>
    <col min="5322" max="5322" width="12.42578125" customWidth="1"/>
    <col min="5323" max="5324" width="8.42578125" customWidth="1"/>
    <col min="5325" max="5325" width="44" customWidth="1"/>
    <col min="5328" max="5328" width="7.42578125" customWidth="1"/>
    <col min="5329" max="5329" width="11.42578125" customWidth="1"/>
    <col min="5330" max="5331" width="12.42578125" customWidth="1"/>
    <col min="5332" max="5332" width="11.42578125" customWidth="1"/>
    <col min="5333" max="5334" width="8.42578125" customWidth="1"/>
    <col min="5335" max="5335" width="17.42578125" customWidth="1"/>
    <col min="5336" max="5336" width="12.42578125" customWidth="1"/>
    <col min="5337" max="5338" width="8.42578125" customWidth="1"/>
    <col min="5339" max="5339" width="43.42578125" customWidth="1"/>
    <col min="5341" max="5341" width="7.42578125" customWidth="1"/>
    <col min="5342" max="5342" width="11.42578125" customWidth="1"/>
    <col min="5343" max="5344" width="12.42578125" customWidth="1"/>
    <col min="5345" max="5345" width="11.42578125" customWidth="1"/>
    <col min="5346" max="5346" width="8.42578125" customWidth="1"/>
    <col min="5347" max="5347" width="8.42578125" bestFit="1" customWidth="1"/>
    <col min="5348" max="5348" width="17.42578125" bestFit="1" customWidth="1"/>
    <col min="5349" max="5349" width="12.42578125" bestFit="1" customWidth="1"/>
    <col min="5350" max="5351" width="8.42578125" customWidth="1"/>
    <col min="5352" max="5352" width="44" customWidth="1"/>
    <col min="5538" max="5538" width="22.42578125" bestFit="1" customWidth="1"/>
    <col min="5539" max="5539" width="8.42578125" customWidth="1"/>
    <col min="5540" max="5540" width="29.42578125" customWidth="1"/>
    <col min="5541" max="5541" width="7" customWidth="1"/>
    <col min="5542" max="5542" width="22.42578125" bestFit="1" customWidth="1"/>
    <col min="5543" max="5543" width="62.42578125" customWidth="1"/>
    <col min="5544" max="5544" width="2.42578125" customWidth="1"/>
    <col min="5545" max="5545" width="7" customWidth="1"/>
    <col min="5546" max="5546" width="11.42578125" customWidth="1"/>
    <col min="5547" max="5548" width="12.42578125" customWidth="1"/>
    <col min="5549" max="5551" width="8.42578125" customWidth="1"/>
    <col min="5552" max="5552" width="12.42578125" customWidth="1"/>
    <col min="5553" max="5554" width="8.42578125" customWidth="1"/>
    <col min="5555" max="5555" width="44" customWidth="1"/>
    <col min="5556" max="5556" width="10.42578125" customWidth="1"/>
    <col min="5557" max="5557" width="7.42578125" customWidth="1"/>
    <col min="5558" max="5558" width="11.42578125" customWidth="1"/>
    <col min="5559" max="5560" width="12.42578125" customWidth="1"/>
    <col min="5561" max="5561" width="11.42578125" customWidth="1"/>
    <col min="5562" max="5563" width="8.42578125" customWidth="1"/>
    <col min="5564" max="5564" width="17.42578125" customWidth="1"/>
    <col min="5565" max="5565" width="12.42578125" customWidth="1"/>
    <col min="5566" max="5567" width="8.42578125" customWidth="1"/>
    <col min="5568" max="5568" width="44" customWidth="1"/>
    <col min="5570" max="5570" width="7.42578125" customWidth="1"/>
    <col min="5571" max="5571" width="11.42578125" customWidth="1"/>
    <col min="5572" max="5573" width="12.42578125" customWidth="1"/>
    <col min="5574" max="5574" width="11.42578125" customWidth="1"/>
    <col min="5575" max="5576" width="8.42578125" customWidth="1"/>
    <col min="5577" max="5577" width="17.42578125" customWidth="1"/>
    <col min="5578" max="5578" width="12.42578125" customWidth="1"/>
    <col min="5579" max="5580" width="8.42578125" customWidth="1"/>
    <col min="5581" max="5581" width="44" customWidth="1"/>
    <col min="5584" max="5584" width="7.42578125" customWidth="1"/>
    <col min="5585" max="5585" width="11.42578125" customWidth="1"/>
    <col min="5586" max="5587" width="12.42578125" customWidth="1"/>
    <col min="5588" max="5588" width="11.42578125" customWidth="1"/>
    <col min="5589" max="5590" width="8.42578125" customWidth="1"/>
    <col min="5591" max="5591" width="17.42578125" customWidth="1"/>
    <col min="5592" max="5592" width="12.42578125" customWidth="1"/>
    <col min="5593" max="5594" width="8.42578125" customWidth="1"/>
    <col min="5595" max="5595" width="43.42578125" customWidth="1"/>
    <col min="5597" max="5597" width="7.42578125" customWidth="1"/>
    <col min="5598" max="5598" width="11.42578125" customWidth="1"/>
    <col min="5599" max="5600" width="12.42578125" customWidth="1"/>
    <col min="5601" max="5601" width="11.42578125" customWidth="1"/>
    <col min="5602" max="5602" width="8.42578125" customWidth="1"/>
    <col min="5603" max="5603" width="8.42578125" bestFit="1" customWidth="1"/>
    <col min="5604" max="5604" width="17.42578125" bestFit="1" customWidth="1"/>
    <col min="5605" max="5605" width="12.42578125" bestFit="1" customWidth="1"/>
    <col min="5606" max="5607" width="8.42578125" customWidth="1"/>
    <col min="5608" max="5608" width="44" customWidth="1"/>
    <col min="5794" max="5794" width="22.42578125" bestFit="1" customWidth="1"/>
    <col min="5795" max="5795" width="8.42578125" customWidth="1"/>
    <col min="5796" max="5796" width="29.42578125" customWidth="1"/>
    <col min="5797" max="5797" width="7" customWidth="1"/>
    <col min="5798" max="5798" width="22.42578125" bestFit="1" customWidth="1"/>
    <col min="5799" max="5799" width="62.42578125" customWidth="1"/>
    <col min="5800" max="5800" width="2.42578125" customWidth="1"/>
    <col min="5801" max="5801" width="7" customWidth="1"/>
    <col min="5802" max="5802" width="11.42578125" customWidth="1"/>
    <col min="5803" max="5804" width="12.42578125" customWidth="1"/>
    <col min="5805" max="5807" width="8.42578125" customWidth="1"/>
    <col min="5808" max="5808" width="12.42578125" customWidth="1"/>
    <col min="5809" max="5810" width="8.42578125" customWidth="1"/>
    <col min="5811" max="5811" width="44" customWidth="1"/>
    <col min="5812" max="5812" width="10.42578125" customWidth="1"/>
    <col min="5813" max="5813" width="7.42578125" customWidth="1"/>
    <col min="5814" max="5814" width="11.42578125" customWidth="1"/>
    <col min="5815" max="5816" width="12.42578125" customWidth="1"/>
    <col min="5817" max="5817" width="11.42578125" customWidth="1"/>
    <col min="5818" max="5819" width="8.42578125" customWidth="1"/>
    <col min="5820" max="5820" width="17.42578125" customWidth="1"/>
    <col min="5821" max="5821" width="12.42578125" customWidth="1"/>
    <col min="5822" max="5823" width="8.42578125" customWidth="1"/>
    <col min="5824" max="5824" width="44" customWidth="1"/>
    <col min="5826" max="5826" width="7.42578125" customWidth="1"/>
    <col min="5827" max="5827" width="11.42578125" customWidth="1"/>
    <col min="5828" max="5829" width="12.42578125" customWidth="1"/>
    <col min="5830" max="5830" width="11.42578125" customWidth="1"/>
    <col min="5831" max="5832" width="8.42578125" customWidth="1"/>
    <col min="5833" max="5833" width="17.42578125" customWidth="1"/>
    <col min="5834" max="5834" width="12.42578125" customWidth="1"/>
    <col min="5835" max="5836" width="8.42578125" customWidth="1"/>
    <col min="5837" max="5837" width="44" customWidth="1"/>
    <col min="5840" max="5840" width="7.42578125" customWidth="1"/>
    <col min="5841" max="5841" width="11.42578125" customWidth="1"/>
    <col min="5842" max="5843" width="12.42578125" customWidth="1"/>
    <col min="5844" max="5844" width="11.42578125" customWidth="1"/>
    <col min="5845" max="5846" width="8.42578125" customWidth="1"/>
    <col min="5847" max="5847" width="17.42578125" customWidth="1"/>
    <col min="5848" max="5848" width="12.42578125" customWidth="1"/>
    <col min="5849" max="5850" width="8.42578125" customWidth="1"/>
    <col min="5851" max="5851" width="43.42578125" customWidth="1"/>
    <col min="5853" max="5853" width="7.42578125" customWidth="1"/>
    <col min="5854" max="5854" width="11.42578125" customWidth="1"/>
    <col min="5855" max="5856" width="12.42578125" customWidth="1"/>
    <col min="5857" max="5857" width="11.42578125" customWidth="1"/>
    <col min="5858" max="5858" width="8.42578125" customWidth="1"/>
    <col min="5859" max="5859" width="8.42578125" bestFit="1" customWidth="1"/>
    <col min="5860" max="5860" width="17.42578125" bestFit="1" customWidth="1"/>
    <col min="5861" max="5861" width="12.42578125" bestFit="1" customWidth="1"/>
    <col min="5862" max="5863" width="8.42578125" customWidth="1"/>
    <col min="5864" max="5864" width="44" customWidth="1"/>
    <col min="6050" max="6050" width="22.42578125" bestFit="1" customWidth="1"/>
    <col min="6051" max="6051" width="8.42578125" customWidth="1"/>
    <col min="6052" max="6052" width="29.42578125" customWidth="1"/>
    <col min="6053" max="6053" width="7" customWidth="1"/>
    <col min="6054" max="6054" width="22.42578125" bestFit="1" customWidth="1"/>
    <col min="6055" max="6055" width="62.42578125" customWidth="1"/>
    <col min="6056" max="6056" width="2.42578125" customWidth="1"/>
    <col min="6057" max="6057" width="7" customWidth="1"/>
    <col min="6058" max="6058" width="11.42578125" customWidth="1"/>
    <col min="6059" max="6060" width="12.42578125" customWidth="1"/>
    <col min="6061" max="6063" width="8.42578125" customWidth="1"/>
    <col min="6064" max="6064" width="12.42578125" customWidth="1"/>
    <col min="6065" max="6066" width="8.42578125" customWidth="1"/>
    <col min="6067" max="6067" width="44" customWidth="1"/>
    <col min="6068" max="6068" width="10.42578125" customWidth="1"/>
    <col min="6069" max="6069" width="7.42578125" customWidth="1"/>
    <col min="6070" max="6070" width="11.42578125" customWidth="1"/>
    <col min="6071" max="6072" width="12.42578125" customWidth="1"/>
    <col min="6073" max="6073" width="11.42578125" customWidth="1"/>
    <col min="6074" max="6075" width="8.42578125" customWidth="1"/>
    <col min="6076" max="6076" width="17.42578125" customWidth="1"/>
    <col min="6077" max="6077" width="12.42578125" customWidth="1"/>
    <col min="6078" max="6079" width="8.42578125" customWidth="1"/>
    <col min="6080" max="6080" width="44" customWidth="1"/>
    <col min="6082" max="6082" width="7.42578125" customWidth="1"/>
    <col min="6083" max="6083" width="11.42578125" customWidth="1"/>
    <col min="6084" max="6085" width="12.42578125" customWidth="1"/>
    <col min="6086" max="6086" width="11.42578125" customWidth="1"/>
    <col min="6087" max="6088" width="8.42578125" customWidth="1"/>
    <col min="6089" max="6089" width="17.42578125" customWidth="1"/>
    <col min="6090" max="6090" width="12.42578125" customWidth="1"/>
    <col min="6091" max="6092" width="8.42578125" customWidth="1"/>
    <col min="6093" max="6093" width="44" customWidth="1"/>
    <col min="6096" max="6096" width="7.42578125" customWidth="1"/>
    <col min="6097" max="6097" width="11.42578125" customWidth="1"/>
    <col min="6098" max="6099" width="12.42578125" customWidth="1"/>
    <col min="6100" max="6100" width="11.42578125" customWidth="1"/>
    <col min="6101" max="6102" width="8.42578125" customWidth="1"/>
    <col min="6103" max="6103" width="17.42578125" customWidth="1"/>
    <col min="6104" max="6104" width="12.42578125" customWidth="1"/>
    <col min="6105" max="6106" width="8.42578125" customWidth="1"/>
    <col min="6107" max="6107" width="43.42578125" customWidth="1"/>
    <col min="6109" max="6109" width="7.42578125" customWidth="1"/>
    <col min="6110" max="6110" width="11.42578125" customWidth="1"/>
    <col min="6111" max="6112" width="12.42578125" customWidth="1"/>
    <col min="6113" max="6113" width="11.42578125" customWidth="1"/>
    <col min="6114" max="6114" width="8.42578125" customWidth="1"/>
    <col min="6115" max="6115" width="8.42578125" bestFit="1" customWidth="1"/>
    <col min="6116" max="6116" width="17.42578125" bestFit="1" customWidth="1"/>
    <col min="6117" max="6117" width="12.42578125" bestFit="1" customWidth="1"/>
    <col min="6118" max="6119" width="8.42578125" customWidth="1"/>
    <col min="6120" max="6120" width="44" customWidth="1"/>
    <col min="6306" max="6306" width="22.42578125" bestFit="1" customWidth="1"/>
    <col min="6307" max="6307" width="8.42578125" customWidth="1"/>
    <col min="6308" max="6308" width="29.42578125" customWidth="1"/>
    <col min="6309" max="6309" width="7" customWidth="1"/>
    <col min="6310" max="6310" width="22.42578125" bestFit="1" customWidth="1"/>
    <col min="6311" max="6311" width="62.42578125" customWidth="1"/>
    <col min="6312" max="6312" width="2.42578125" customWidth="1"/>
    <col min="6313" max="6313" width="7" customWidth="1"/>
    <col min="6314" max="6314" width="11.42578125" customWidth="1"/>
    <col min="6315" max="6316" width="12.42578125" customWidth="1"/>
    <col min="6317" max="6319" width="8.42578125" customWidth="1"/>
    <col min="6320" max="6320" width="12.42578125" customWidth="1"/>
    <col min="6321" max="6322" width="8.42578125" customWidth="1"/>
    <col min="6323" max="6323" width="44" customWidth="1"/>
    <col min="6324" max="6324" width="10.42578125" customWidth="1"/>
    <col min="6325" max="6325" width="7.42578125" customWidth="1"/>
    <col min="6326" max="6326" width="11.42578125" customWidth="1"/>
    <col min="6327" max="6328" width="12.42578125" customWidth="1"/>
    <col min="6329" max="6329" width="11.42578125" customWidth="1"/>
    <col min="6330" max="6331" width="8.42578125" customWidth="1"/>
    <col min="6332" max="6332" width="17.42578125" customWidth="1"/>
    <col min="6333" max="6333" width="12.42578125" customWidth="1"/>
    <col min="6334" max="6335" width="8.42578125" customWidth="1"/>
    <col min="6336" max="6336" width="44" customWidth="1"/>
    <col min="6338" max="6338" width="7.42578125" customWidth="1"/>
    <col min="6339" max="6339" width="11.42578125" customWidth="1"/>
    <col min="6340" max="6341" width="12.42578125" customWidth="1"/>
    <col min="6342" max="6342" width="11.42578125" customWidth="1"/>
    <col min="6343" max="6344" width="8.42578125" customWidth="1"/>
    <col min="6345" max="6345" width="17.42578125" customWidth="1"/>
    <col min="6346" max="6346" width="12.42578125" customWidth="1"/>
    <col min="6347" max="6348" width="8.42578125" customWidth="1"/>
    <col min="6349" max="6349" width="44" customWidth="1"/>
    <col min="6352" max="6352" width="7.42578125" customWidth="1"/>
    <col min="6353" max="6353" width="11.42578125" customWidth="1"/>
    <col min="6354" max="6355" width="12.42578125" customWidth="1"/>
    <col min="6356" max="6356" width="11.42578125" customWidth="1"/>
    <col min="6357" max="6358" width="8.42578125" customWidth="1"/>
    <col min="6359" max="6359" width="17.42578125" customWidth="1"/>
    <col min="6360" max="6360" width="12.42578125" customWidth="1"/>
    <col min="6361" max="6362" width="8.42578125" customWidth="1"/>
    <col min="6363" max="6363" width="43.42578125" customWidth="1"/>
    <col min="6365" max="6365" width="7.42578125" customWidth="1"/>
    <col min="6366" max="6366" width="11.42578125" customWidth="1"/>
    <col min="6367" max="6368" width="12.42578125" customWidth="1"/>
    <col min="6369" max="6369" width="11.42578125" customWidth="1"/>
    <col min="6370" max="6370" width="8.42578125" customWidth="1"/>
    <col min="6371" max="6371" width="8.42578125" bestFit="1" customWidth="1"/>
    <col min="6372" max="6372" width="17.42578125" bestFit="1" customWidth="1"/>
    <col min="6373" max="6373" width="12.42578125" bestFit="1" customWidth="1"/>
    <col min="6374" max="6375" width="8.42578125" customWidth="1"/>
    <col min="6376" max="6376" width="44" customWidth="1"/>
    <col min="6562" max="6562" width="22.42578125" bestFit="1" customWidth="1"/>
    <col min="6563" max="6563" width="8.42578125" customWidth="1"/>
    <col min="6564" max="6564" width="29.42578125" customWidth="1"/>
    <col min="6565" max="6565" width="7" customWidth="1"/>
    <col min="6566" max="6566" width="22.42578125" bestFit="1" customWidth="1"/>
    <col min="6567" max="6567" width="62.42578125" customWidth="1"/>
    <col min="6568" max="6568" width="2.42578125" customWidth="1"/>
    <col min="6569" max="6569" width="7" customWidth="1"/>
    <col min="6570" max="6570" width="11.42578125" customWidth="1"/>
    <col min="6571" max="6572" width="12.42578125" customWidth="1"/>
    <col min="6573" max="6575" width="8.42578125" customWidth="1"/>
    <col min="6576" max="6576" width="12.42578125" customWidth="1"/>
    <col min="6577" max="6578" width="8.42578125" customWidth="1"/>
    <col min="6579" max="6579" width="44" customWidth="1"/>
    <col min="6580" max="6580" width="10.42578125" customWidth="1"/>
    <col min="6581" max="6581" width="7.42578125" customWidth="1"/>
    <col min="6582" max="6582" width="11.42578125" customWidth="1"/>
    <col min="6583" max="6584" width="12.42578125" customWidth="1"/>
    <col min="6585" max="6585" width="11.42578125" customWidth="1"/>
    <col min="6586" max="6587" width="8.42578125" customWidth="1"/>
    <col min="6588" max="6588" width="17.42578125" customWidth="1"/>
    <col min="6589" max="6589" width="12.42578125" customWidth="1"/>
    <col min="6590" max="6591" width="8.42578125" customWidth="1"/>
    <col min="6592" max="6592" width="44" customWidth="1"/>
    <col min="6594" max="6594" width="7.42578125" customWidth="1"/>
    <col min="6595" max="6595" width="11.42578125" customWidth="1"/>
    <col min="6596" max="6597" width="12.42578125" customWidth="1"/>
    <col min="6598" max="6598" width="11.42578125" customWidth="1"/>
    <col min="6599" max="6600" width="8.42578125" customWidth="1"/>
    <col min="6601" max="6601" width="17.42578125" customWidth="1"/>
    <col min="6602" max="6602" width="12.42578125" customWidth="1"/>
    <col min="6603" max="6604" width="8.42578125" customWidth="1"/>
    <col min="6605" max="6605" width="44" customWidth="1"/>
    <col min="6608" max="6608" width="7.42578125" customWidth="1"/>
    <col min="6609" max="6609" width="11.42578125" customWidth="1"/>
    <col min="6610" max="6611" width="12.42578125" customWidth="1"/>
    <col min="6612" max="6612" width="11.42578125" customWidth="1"/>
    <col min="6613" max="6614" width="8.42578125" customWidth="1"/>
    <col min="6615" max="6615" width="17.42578125" customWidth="1"/>
    <col min="6616" max="6616" width="12.42578125" customWidth="1"/>
    <col min="6617" max="6618" width="8.42578125" customWidth="1"/>
    <col min="6619" max="6619" width="43.42578125" customWidth="1"/>
    <col min="6621" max="6621" width="7.42578125" customWidth="1"/>
    <col min="6622" max="6622" width="11.42578125" customWidth="1"/>
    <col min="6623" max="6624" width="12.42578125" customWidth="1"/>
    <col min="6625" max="6625" width="11.42578125" customWidth="1"/>
    <col min="6626" max="6626" width="8.42578125" customWidth="1"/>
    <col min="6627" max="6627" width="8.42578125" bestFit="1" customWidth="1"/>
    <col min="6628" max="6628" width="17.42578125" bestFit="1" customWidth="1"/>
    <col min="6629" max="6629" width="12.42578125" bestFit="1" customWidth="1"/>
    <col min="6630" max="6631" width="8.42578125" customWidth="1"/>
    <col min="6632" max="6632" width="44" customWidth="1"/>
    <col min="6818" max="6818" width="22.42578125" bestFit="1" customWidth="1"/>
    <col min="6819" max="6819" width="8.42578125" customWidth="1"/>
    <col min="6820" max="6820" width="29.42578125" customWidth="1"/>
    <col min="6821" max="6821" width="7" customWidth="1"/>
    <col min="6822" max="6822" width="22.42578125" bestFit="1" customWidth="1"/>
    <col min="6823" max="6823" width="62.42578125" customWidth="1"/>
    <col min="6824" max="6824" width="2.42578125" customWidth="1"/>
    <col min="6825" max="6825" width="7" customWidth="1"/>
    <col min="6826" max="6826" width="11.42578125" customWidth="1"/>
    <col min="6827" max="6828" width="12.42578125" customWidth="1"/>
    <col min="6829" max="6831" width="8.42578125" customWidth="1"/>
    <col min="6832" max="6832" width="12.42578125" customWidth="1"/>
    <col min="6833" max="6834" width="8.42578125" customWidth="1"/>
    <col min="6835" max="6835" width="44" customWidth="1"/>
    <col min="6836" max="6836" width="10.42578125" customWidth="1"/>
    <col min="6837" max="6837" width="7.42578125" customWidth="1"/>
    <col min="6838" max="6838" width="11.42578125" customWidth="1"/>
    <col min="6839" max="6840" width="12.42578125" customWidth="1"/>
    <col min="6841" max="6841" width="11.42578125" customWidth="1"/>
    <col min="6842" max="6843" width="8.42578125" customWidth="1"/>
    <col min="6844" max="6844" width="17.42578125" customWidth="1"/>
    <col min="6845" max="6845" width="12.42578125" customWidth="1"/>
    <col min="6846" max="6847" width="8.42578125" customWidth="1"/>
    <col min="6848" max="6848" width="44" customWidth="1"/>
    <col min="6850" max="6850" width="7.42578125" customWidth="1"/>
    <col min="6851" max="6851" width="11.42578125" customWidth="1"/>
    <col min="6852" max="6853" width="12.42578125" customWidth="1"/>
    <col min="6854" max="6854" width="11.42578125" customWidth="1"/>
    <col min="6855" max="6856" width="8.42578125" customWidth="1"/>
    <col min="6857" max="6857" width="17.42578125" customWidth="1"/>
    <col min="6858" max="6858" width="12.42578125" customWidth="1"/>
    <col min="6859" max="6860" width="8.42578125" customWidth="1"/>
    <col min="6861" max="6861" width="44" customWidth="1"/>
    <col min="6864" max="6864" width="7.42578125" customWidth="1"/>
    <col min="6865" max="6865" width="11.42578125" customWidth="1"/>
    <col min="6866" max="6867" width="12.42578125" customWidth="1"/>
    <col min="6868" max="6868" width="11.42578125" customWidth="1"/>
    <col min="6869" max="6870" width="8.42578125" customWidth="1"/>
    <col min="6871" max="6871" width="17.42578125" customWidth="1"/>
    <col min="6872" max="6872" width="12.42578125" customWidth="1"/>
    <col min="6873" max="6874" width="8.42578125" customWidth="1"/>
    <col min="6875" max="6875" width="43.42578125" customWidth="1"/>
    <col min="6877" max="6877" width="7.42578125" customWidth="1"/>
    <col min="6878" max="6878" width="11.42578125" customWidth="1"/>
    <col min="6879" max="6880" width="12.42578125" customWidth="1"/>
    <col min="6881" max="6881" width="11.42578125" customWidth="1"/>
    <col min="6882" max="6882" width="8.42578125" customWidth="1"/>
    <col min="6883" max="6883" width="8.42578125" bestFit="1" customWidth="1"/>
    <col min="6884" max="6884" width="17.42578125" bestFit="1" customWidth="1"/>
    <col min="6885" max="6885" width="12.42578125" bestFit="1" customWidth="1"/>
    <col min="6886" max="6887" width="8.42578125" customWidth="1"/>
    <col min="6888" max="6888" width="44" customWidth="1"/>
    <col min="7074" max="7074" width="22.42578125" bestFit="1" customWidth="1"/>
    <col min="7075" max="7075" width="8.42578125" customWidth="1"/>
    <col min="7076" max="7076" width="29.42578125" customWidth="1"/>
    <col min="7077" max="7077" width="7" customWidth="1"/>
    <col min="7078" max="7078" width="22.42578125" bestFit="1" customWidth="1"/>
    <col min="7079" max="7079" width="62.42578125" customWidth="1"/>
    <col min="7080" max="7080" width="2.42578125" customWidth="1"/>
    <col min="7081" max="7081" width="7" customWidth="1"/>
    <col min="7082" max="7082" width="11.42578125" customWidth="1"/>
    <col min="7083" max="7084" width="12.42578125" customWidth="1"/>
    <col min="7085" max="7087" width="8.42578125" customWidth="1"/>
    <col min="7088" max="7088" width="12.42578125" customWidth="1"/>
    <col min="7089" max="7090" width="8.42578125" customWidth="1"/>
    <col min="7091" max="7091" width="44" customWidth="1"/>
    <col min="7092" max="7092" width="10.42578125" customWidth="1"/>
    <col min="7093" max="7093" width="7.42578125" customWidth="1"/>
    <col min="7094" max="7094" width="11.42578125" customWidth="1"/>
    <col min="7095" max="7096" width="12.42578125" customWidth="1"/>
    <col min="7097" max="7097" width="11.42578125" customWidth="1"/>
    <col min="7098" max="7099" width="8.42578125" customWidth="1"/>
    <col min="7100" max="7100" width="17.42578125" customWidth="1"/>
    <col min="7101" max="7101" width="12.42578125" customWidth="1"/>
    <col min="7102" max="7103" width="8.42578125" customWidth="1"/>
    <col min="7104" max="7104" width="44" customWidth="1"/>
    <col min="7106" max="7106" width="7.42578125" customWidth="1"/>
    <col min="7107" max="7107" width="11.42578125" customWidth="1"/>
    <col min="7108" max="7109" width="12.42578125" customWidth="1"/>
    <col min="7110" max="7110" width="11.42578125" customWidth="1"/>
    <col min="7111" max="7112" width="8.42578125" customWidth="1"/>
    <col min="7113" max="7113" width="17.42578125" customWidth="1"/>
    <col min="7114" max="7114" width="12.42578125" customWidth="1"/>
    <col min="7115" max="7116" width="8.42578125" customWidth="1"/>
    <col min="7117" max="7117" width="44" customWidth="1"/>
    <col min="7120" max="7120" width="7.42578125" customWidth="1"/>
    <col min="7121" max="7121" width="11.42578125" customWidth="1"/>
    <col min="7122" max="7123" width="12.42578125" customWidth="1"/>
    <col min="7124" max="7124" width="11.42578125" customWidth="1"/>
    <col min="7125" max="7126" width="8.42578125" customWidth="1"/>
    <col min="7127" max="7127" width="17.42578125" customWidth="1"/>
    <col min="7128" max="7128" width="12.42578125" customWidth="1"/>
    <col min="7129" max="7130" width="8.42578125" customWidth="1"/>
    <col min="7131" max="7131" width="43.42578125" customWidth="1"/>
    <col min="7133" max="7133" width="7.42578125" customWidth="1"/>
    <col min="7134" max="7134" width="11.42578125" customWidth="1"/>
    <col min="7135" max="7136" width="12.42578125" customWidth="1"/>
    <col min="7137" max="7137" width="11.42578125" customWidth="1"/>
    <col min="7138" max="7138" width="8.42578125" customWidth="1"/>
    <col min="7139" max="7139" width="8.42578125" bestFit="1" customWidth="1"/>
    <col min="7140" max="7140" width="17.42578125" bestFit="1" customWidth="1"/>
    <col min="7141" max="7141" width="12.42578125" bestFit="1" customWidth="1"/>
    <col min="7142" max="7143" width="8.42578125" customWidth="1"/>
    <col min="7144" max="7144" width="44" customWidth="1"/>
    <col min="7330" max="7330" width="22.42578125" bestFit="1" customWidth="1"/>
    <col min="7331" max="7331" width="8.42578125" customWidth="1"/>
    <col min="7332" max="7332" width="29.42578125" customWidth="1"/>
    <col min="7333" max="7333" width="7" customWidth="1"/>
    <col min="7334" max="7334" width="22.42578125" bestFit="1" customWidth="1"/>
    <col min="7335" max="7335" width="62.42578125" customWidth="1"/>
    <col min="7336" max="7336" width="2.42578125" customWidth="1"/>
    <col min="7337" max="7337" width="7" customWidth="1"/>
    <col min="7338" max="7338" width="11.42578125" customWidth="1"/>
    <col min="7339" max="7340" width="12.42578125" customWidth="1"/>
    <col min="7341" max="7343" width="8.42578125" customWidth="1"/>
    <col min="7344" max="7344" width="12.42578125" customWidth="1"/>
    <col min="7345" max="7346" width="8.42578125" customWidth="1"/>
    <col min="7347" max="7347" width="44" customWidth="1"/>
    <col min="7348" max="7348" width="10.42578125" customWidth="1"/>
    <col min="7349" max="7349" width="7.42578125" customWidth="1"/>
    <col min="7350" max="7350" width="11.42578125" customWidth="1"/>
    <col min="7351" max="7352" width="12.42578125" customWidth="1"/>
    <col min="7353" max="7353" width="11.42578125" customWidth="1"/>
    <col min="7354" max="7355" width="8.42578125" customWidth="1"/>
    <col min="7356" max="7356" width="17.42578125" customWidth="1"/>
    <col min="7357" max="7357" width="12.42578125" customWidth="1"/>
    <col min="7358" max="7359" width="8.42578125" customWidth="1"/>
    <col min="7360" max="7360" width="44" customWidth="1"/>
    <col min="7362" max="7362" width="7.42578125" customWidth="1"/>
    <col min="7363" max="7363" width="11.42578125" customWidth="1"/>
    <col min="7364" max="7365" width="12.42578125" customWidth="1"/>
    <col min="7366" max="7366" width="11.42578125" customWidth="1"/>
    <col min="7367" max="7368" width="8.42578125" customWidth="1"/>
    <col min="7369" max="7369" width="17.42578125" customWidth="1"/>
    <col min="7370" max="7370" width="12.42578125" customWidth="1"/>
    <col min="7371" max="7372" width="8.42578125" customWidth="1"/>
    <col min="7373" max="7373" width="44" customWidth="1"/>
    <col min="7376" max="7376" width="7.42578125" customWidth="1"/>
    <col min="7377" max="7377" width="11.42578125" customWidth="1"/>
    <col min="7378" max="7379" width="12.42578125" customWidth="1"/>
    <col min="7380" max="7380" width="11.42578125" customWidth="1"/>
    <col min="7381" max="7382" width="8.42578125" customWidth="1"/>
    <col min="7383" max="7383" width="17.42578125" customWidth="1"/>
    <col min="7384" max="7384" width="12.42578125" customWidth="1"/>
    <col min="7385" max="7386" width="8.42578125" customWidth="1"/>
    <col min="7387" max="7387" width="43.42578125" customWidth="1"/>
    <col min="7389" max="7389" width="7.42578125" customWidth="1"/>
    <col min="7390" max="7390" width="11.42578125" customWidth="1"/>
    <col min="7391" max="7392" width="12.42578125" customWidth="1"/>
    <col min="7393" max="7393" width="11.42578125" customWidth="1"/>
    <col min="7394" max="7394" width="8.42578125" customWidth="1"/>
    <col min="7395" max="7395" width="8.42578125" bestFit="1" customWidth="1"/>
    <col min="7396" max="7396" width="17.42578125" bestFit="1" customWidth="1"/>
    <col min="7397" max="7397" width="12.42578125" bestFit="1" customWidth="1"/>
    <col min="7398" max="7399" width="8.42578125" customWidth="1"/>
    <col min="7400" max="7400" width="44" customWidth="1"/>
    <col min="7586" max="7586" width="22.42578125" bestFit="1" customWidth="1"/>
    <col min="7587" max="7587" width="8.42578125" customWidth="1"/>
    <col min="7588" max="7588" width="29.42578125" customWidth="1"/>
    <col min="7589" max="7589" width="7" customWidth="1"/>
    <col min="7590" max="7590" width="22.42578125" bestFit="1" customWidth="1"/>
    <col min="7591" max="7591" width="62.42578125" customWidth="1"/>
    <col min="7592" max="7592" width="2.42578125" customWidth="1"/>
    <col min="7593" max="7593" width="7" customWidth="1"/>
    <col min="7594" max="7594" width="11.42578125" customWidth="1"/>
    <col min="7595" max="7596" width="12.42578125" customWidth="1"/>
    <col min="7597" max="7599" width="8.42578125" customWidth="1"/>
    <col min="7600" max="7600" width="12.42578125" customWidth="1"/>
    <col min="7601" max="7602" width="8.42578125" customWidth="1"/>
    <col min="7603" max="7603" width="44" customWidth="1"/>
    <col min="7604" max="7604" width="10.42578125" customWidth="1"/>
    <col min="7605" max="7605" width="7.42578125" customWidth="1"/>
    <col min="7606" max="7606" width="11.42578125" customWidth="1"/>
    <col min="7607" max="7608" width="12.42578125" customWidth="1"/>
    <col min="7609" max="7609" width="11.42578125" customWidth="1"/>
    <col min="7610" max="7611" width="8.42578125" customWidth="1"/>
    <col min="7612" max="7612" width="17.42578125" customWidth="1"/>
    <col min="7613" max="7613" width="12.42578125" customWidth="1"/>
    <col min="7614" max="7615" width="8.42578125" customWidth="1"/>
    <col min="7616" max="7616" width="44" customWidth="1"/>
    <col min="7618" max="7618" width="7.42578125" customWidth="1"/>
    <col min="7619" max="7619" width="11.42578125" customWidth="1"/>
    <col min="7620" max="7621" width="12.42578125" customWidth="1"/>
    <col min="7622" max="7622" width="11.42578125" customWidth="1"/>
    <col min="7623" max="7624" width="8.42578125" customWidth="1"/>
    <col min="7625" max="7625" width="17.42578125" customWidth="1"/>
    <col min="7626" max="7626" width="12.42578125" customWidth="1"/>
    <col min="7627" max="7628" width="8.42578125" customWidth="1"/>
    <col min="7629" max="7629" width="44" customWidth="1"/>
    <col min="7632" max="7632" width="7.42578125" customWidth="1"/>
    <col min="7633" max="7633" width="11.42578125" customWidth="1"/>
    <col min="7634" max="7635" width="12.42578125" customWidth="1"/>
    <col min="7636" max="7636" width="11.42578125" customWidth="1"/>
    <col min="7637" max="7638" width="8.42578125" customWidth="1"/>
    <col min="7639" max="7639" width="17.42578125" customWidth="1"/>
    <col min="7640" max="7640" width="12.42578125" customWidth="1"/>
    <col min="7641" max="7642" width="8.42578125" customWidth="1"/>
    <col min="7643" max="7643" width="43.42578125" customWidth="1"/>
    <col min="7645" max="7645" width="7.42578125" customWidth="1"/>
    <col min="7646" max="7646" width="11.42578125" customWidth="1"/>
    <col min="7647" max="7648" width="12.42578125" customWidth="1"/>
    <col min="7649" max="7649" width="11.42578125" customWidth="1"/>
    <col min="7650" max="7650" width="8.42578125" customWidth="1"/>
    <col min="7651" max="7651" width="8.42578125" bestFit="1" customWidth="1"/>
    <col min="7652" max="7652" width="17.42578125" bestFit="1" customWidth="1"/>
    <col min="7653" max="7653" width="12.42578125" bestFit="1" customWidth="1"/>
    <col min="7654" max="7655" width="8.42578125" customWidth="1"/>
    <col min="7656" max="7656" width="44" customWidth="1"/>
    <col min="7842" max="7842" width="22.42578125" bestFit="1" customWidth="1"/>
    <col min="7843" max="7843" width="8.42578125" customWidth="1"/>
    <col min="7844" max="7844" width="29.42578125" customWidth="1"/>
    <col min="7845" max="7845" width="7" customWidth="1"/>
    <col min="7846" max="7846" width="22.42578125" bestFit="1" customWidth="1"/>
    <col min="7847" max="7847" width="62.42578125" customWidth="1"/>
    <col min="7848" max="7848" width="2.42578125" customWidth="1"/>
    <col min="7849" max="7849" width="7" customWidth="1"/>
    <col min="7850" max="7850" width="11.42578125" customWidth="1"/>
    <col min="7851" max="7852" width="12.42578125" customWidth="1"/>
    <col min="7853" max="7855" width="8.42578125" customWidth="1"/>
    <col min="7856" max="7856" width="12.42578125" customWidth="1"/>
    <col min="7857" max="7858" width="8.42578125" customWidth="1"/>
    <col min="7859" max="7859" width="44" customWidth="1"/>
    <col min="7860" max="7860" width="10.42578125" customWidth="1"/>
    <col min="7861" max="7861" width="7.42578125" customWidth="1"/>
    <col min="7862" max="7862" width="11.42578125" customWidth="1"/>
    <col min="7863" max="7864" width="12.42578125" customWidth="1"/>
    <col min="7865" max="7865" width="11.42578125" customWidth="1"/>
    <col min="7866" max="7867" width="8.42578125" customWidth="1"/>
    <col min="7868" max="7868" width="17.42578125" customWidth="1"/>
    <col min="7869" max="7869" width="12.42578125" customWidth="1"/>
    <col min="7870" max="7871" width="8.42578125" customWidth="1"/>
    <col min="7872" max="7872" width="44" customWidth="1"/>
    <col min="7874" max="7874" width="7.42578125" customWidth="1"/>
    <col min="7875" max="7875" width="11.42578125" customWidth="1"/>
    <col min="7876" max="7877" width="12.42578125" customWidth="1"/>
    <col min="7878" max="7878" width="11.42578125" customWidth="1"/>
    <col min="7879" max="7880" width="8.42578125" customWidth="1"/>
    <col min="7881" max="7881" width="17.42578125" customWidth="1"/>
    <col min="7882" max="7882" width="12.42578125" customWidth="1"/>
    <col min="7883" max="7884" width="8.42578125" customWidth="1"/>
    <col min="7885" max="7885" width="44" customWidth="1"/>
    <col min="7888" max="7888" width="7.42578125" customWidth="1"/>
    <col min="7889" max="7889" width="11.42578125" customWidth="1"/>
    <col min="7890" max="7891" width="12.42578125" customWidth="1"/>
    <col min="7892" max="7892" width="11.42578125" customWidth="1"/>
    <col min="7893" max="7894" width="8.42578125" customWidth="1"/>
    <col min="7895" max="7895" width="17.42578125" customWidth="1"/>
    <col min="7896" max="7896" width="12.42578125" customWidth="1"/>
    <col min="7897" max="7898" width="8.42578125" customWidth="1"/>
    <col min="7899" max="7899" width="43.42578125" customWidth="1"/>
    <col min="7901" max="7901" width="7.42578125" customWidth="1"/>
    <col min="7902" max="7902" width="11.42578125" customWidth="1"/>
    <col min="7903" max="7904" width="12.42578125" customWidth="1"/>
    <col min="7905" max="7905" width="11.42578125" customWidth="1"/>
    <col min="7906" max="7906" width="8.42578125" customWidth="1"/>
    <col min="7907" max="7907" width="8.42578125" bestFit="1" customWidth="1"/>
    <col min="7908" max="7908" width="17.42578125" bestFit="1" customWidth="1"/>
    <col min="7909" max="7909" width="12.42578125" bestFit="1" customWidth="1"/>
    <col min="7910" max="7911" width="8.42578125" customWidth="1"/>
    <col min="7912" max="7912" width="44" customWidth="1"/>
    <col min="8098" max="8098" width="22.42578125" bestFit="1" customWidth="1"/>
    <col min="8099" max="8099" width="8.42578125" customWidth="1"/>
    <col min="8100" max="8100" width="29.42578125" customWidth="1"/>
    <col min="8101" max="8101" width="7" customWidth="1"/>
    <col min="8102" max="8102" width="22.42578125" bestFit="1" customWidth="1"/>
    <col min="8103" max="8103" width="62.42578125" customWidth="1"/>
    <col min="8104" max="8104" width="2.42578125" customWidth="1"/>
    <col min="8105" max="8105" width="7" customWidth="1"/>
    <col min="8106" max="8106" width="11.42578125" customWidth="1"/>
    <col min="8107" max="8108" width="12.42578125" customWidth="1"/>
    <col min="8109" max="8111" width="8.42578125" customWidth="1"/>
    <col min="8112" max="8112" width="12.42578125" customWidth="1"/>
    <col min="8113" max="8114" width="8.42578125" customWidth="1"/>
    <col min="8115" max="8115" width="44" customWidth="1"/>
    <col min="8116" max="8116" width="10.42578125" customWidth="1"/>
    <col min="8117" max="8117" width="7.42578125" customWidth="1"/>
    <col min="8118" max="8118" width="11.42578125" customWidth="1"/>
    <col min="8119" max="8120" width="12.42578125" customWidth="1"/>
    <col min="8121" max="8121" width="11.42578125" customWidth="1"/>
    <col min="8122" max="8123" width="8.42578125" customWidth="1"/>
    <col min="8124" max="8124" width="17.42578125" customWidth="1"/>
    <col min="8125" max="8125" width="12.42578125" customWidth="1"/>
    <col min="8126" max="8127" width="8.42578125" customWidth="1"/>
    <col min="8128" max="8128" width="44" customWidth="1"/>
    <col min="8130" max="8130" width="7.42578125" customWidth="1"/>
    <col min="8131" max="8131" width="11.42578125" customWidth="1"/>
    <col min="8132" max="8133" width="12.42578125" customWidth="1"/>
    <col min="8134" max="8134" width="11.42578125" customWidth="1"/>
    <col min="8135" max="8136" width="8.42578125" customWidth="1"/>
    <col min="8137" max="8137" width="17.42578125" customWidth="1"/>
    <col min="8138" max="8138" width="12.42578125" customWidth="1"/>
    <col min="8139" max="8140" width="8.42578125" customWidth="1"/>
    <col min="8141" max="8141" width="44" customWidth="1"/>
    <col min="8144" max="8144" width="7.42578125" customWidth="1"/>
    <col min="8145" max="8145" width="11.42578125" customWidth="1"/>
    <col min="8146" max="8147" width="12.42578125" customWidth="1"/>
    <col min="8148" max="8148" width="11.42578125" customWidth="1"/>
    <col min="8149" max="8150" width="8.42578125" customWidth="1"/>
    <col min="8151" max="8151" width="17.42578125" customWidth="1"/>
    <col min="8152" max="8152" width="12.42578125" customWidth="1"/>
    <col min="8153" max="8154" width="8.42578125" customWidth="1"/>
    <col min="8155" max="8155" width="43.42578125" customWidth="1"/>
    <col min="8157" max="8157" width="7.42578125" customWidth="1"/>
    <col min="8158" max="8158" width="11.42578125" customWidth="1"/>
    <col min="8159" max="8160" width="12.42578125" customWidth="1"/>
    <col min="8161" max="8161" width="11.42578125" customWidth="1"/>
    <col min="8162" max="8162" width="8.42578125" customWidth="1"/>
    <col min="8163" max="8163" width="8.42578125" bestFit="1" customWidth="1"/>
    <col min="8164" max="8164" width="17.42578125" bestFit="1" customWidth="1"/>
    <col min="8165" max="8165" width="12.42578125" bestFit="1" customWidth="1"/>
    <col min="8166" max="8167" width="8.42578125" customWidth="1"/>
    <col min="8168" max="8168" width="44" customWidth="1"/>
    <col min="8354" max="8354" width="22.42578125" bestFit="1" customWidth="1"/>
    <col min="8355" max="8355" width="8.42578125" customWidth="1"/>
    <col min="8356" max="8356" width="29.42578125" customWidth="1"/>
    <col min="8357" max="8357" width="7" customWidth="1"/>
    <col min="8358" max="8358" width="22.42578125" bestFit="1" customWidth="1"/>
    <col min="8359" max="8359" width="62.42578125" customWidth="1"/>
    <col min="8360" max="8360" width="2.42578125" customWidth="1"/>
    <col min="8361" max="8361" width="7" customWidth="1"/>
    <col min="8362" max="8362" width="11.42578125" customWidth="1"/>
    <col min="8363" max="8364" width="12.42578125" customWidth="1"/>
    <col min="8365" max="8367" width="8.42578125" customWidth="1"/>
    <col min="8368" max="8368" width="12.42578125" customWidth="1"/>
    <col min="8369" max="8370" width="8.42578125" customWidth="1"/>
    <col min="8371" max="8371" width="44" customWidth="1"/>
    <col min="8372" max="8372" width="10.42578125" customWidth="1"/>
    <col min="8373" max="8373" width="7.42578125" customWidth="1"/>
    <col min="8374" max="8374" width="11.42578125" customWidth="1"/>
    <col min="8375" max="8376" width="12.42578125" customWidth="1"/>
    <col min="8377" max="8377" width="11.42578125" customWidth="1"/>
    <col min="8378" max="8379" width="8.42578125" customWidth="1"/>
    <col min="8380" max="8380" width="17.42578125" customWidth="1"/>
    <col min="8381" max="8381" width="12.42578125" customWidth="1"/>
    <col min="8382" max="8383" width="8.42578125" customWidth="1"/>
    <col min="8384" max="8384" width="44" customWidth="1"/>
    <col min="8386" max="8386" width="7.42578125" customWidth="1"/>
    <col min="8387" max="8387" width="11.42578125" customWidth="1"/>
    <col min="8388" max="8389" width="12.42578125" customWidth="1"/>
    <col min="8390" max="8390" width="11.42578125" customWidth="1"/>
    <col min="8391" max="8392" width="8.42578125" customWidth="1"/>
    <col min="8393" max="8393" width="17.42578125" customWidth="1"/>
    <col min="8394" max="8394" width="12.42578125" customWidth="1"/>
    <col min="8395" max="8396" width="8.42578125" customWidth="1"/>
    <col min="8397" max="8397" width="44" customWidth="1"/>
    <col min="8400" max="8400" width="7.42578125" customWidth="1"/>
    <col min="8401" max="8401" width="11.42578125" customWidth="1"/>
    <col min="8402" max="8403" width="12.42578125" customWidth="1"/>
    <col min="8404" max="8404" width="11.42578125" customWidth="1"/>
    <col min="8405" max="8406" width="8.42578125" customWidth="1"/>
    <col min="8407" max="8407" width="17.42578125" customWidth="1"/>
    <col min="8408" max="8408" width="12.42578125" customWidth="1"/>
    <col min="8409" max="8410" width="8.42578125" customWidth="1"/>
    <col min="8411" max="8411" width="43.42578125" customWidth="1"/>
    <col min="8413" max="8413" width="7.42578125" customWidth="1"/>
    <col min="8414" max="8414" width="11.42578125" customWidth="1"/>
    <col min="8415" max="8416" width="12.42578125" customWidth="1"/>
    <col min="8417" max="8417" width="11.42578125" customWidth="1"/>
    <col min="8418" max="8418" width="8.42578125" customWidth="1"/>
    <col min="8419" max="8419" width="8.42578125" bestFit="1" customWidth="1"/>
    <col min="8420" max="8420" width="17.42578125" bestFit="1" customWidth="1"/>
    <col min="8421" max="8421" width="12.42578125" bestFit="1" customWidth="1"/>
    <col min="8422" max="8423" width="8.42578125" customWidth="1"/>
    <col min="8424" max="8424" width="44" customWidth="1"/>
    <col min="8610" max="8610" width="22.42578125" bestFit="1" customWidth="1"/>
    <col min="8611" max="8611" width="8.42578125" customWidth="1"/>
    <col min="8612" max="8612" width="29.42578125" customWidth="1"/>
    <col min="8613" max="8613" width="7" customWidth="1"/>
    <col min="8614" max="8614" width="22.42578125" bestFit="1" customWidth="1"/>
    <col min="8615" max="8615" width="62.42578125" customWidth="1"/>
    <col min="8616" max="8616" width="2.42578125" customWidth="1"/>
    <col min="8617" max="8617" width="7" customWidth="1"/>
    <col min="8618" max="8618" width="11.42578125" customWidth="1"/>
    <col min="8619" max="8620" width="12.42578125" customWidth="1"/>
    <col min="8621" max="8623" width="8.42578125" customWidth="1"/>
    <col min="8624" max="8624" width="12.42578125" customWidth="1"/>
    <col min="8625" max="8626" width="8.42578125" customWidth="1"/>
    <col min="8627" max="8627" width="44" customWidth="1"/>
    <col min="8628" max="8628" width="10.42578125" customWidth="1"/>
    <col min="8629" max="8629" width="7.42578125" customWidth="1"/>
    <col min="8630" max="8630" width="11.42578125" customWidth="1"/>
    <col min="8631" max="8632" width="12.42578125" customWidth="1"/>
    <col min="8633" max="8633" width="11.42578125" customWidth="1"/>
    <col min="8634" max="8635" width="8.42578125" customWidth="1"/>
    <col min="8636" max="8636" width="17.42578125" customWidth="1"/>
    <col min="8637" max="8637" width="12.42578125" customWidth="1"/>
    <col min="8638" max="8639" width="8.42578125" customWidth="1"/>
    <col min="8640" max="8640" width="44" customWidth="1"/>
    <col min="8642" max="8642" width="7.42578125" customWidth="1"/>
    <col min="8643" max="8643" width="11.42578125" customWidth="1"/>
    <col min="8644" max="8645" width="12.42578125" customWidth="1"/>
    <col min="8646" max="8646" width="11.42578125" customWidth="1"/>
    <col min="8647" max="8648" width="8.42578125" customWidth="1"/>
    <col min="8649" max="8649" width="17.42578125" customWidth="1"/>
    <col min="8650" max="8650" width="12.42578125" customWidth="1"/>
    <col min="8651" max="8652" width="8.42578125" customWidth="1"/>
    <col min="8653" max="8653" width="44" customWidth="1"/>
    <col min="8656" max="8656" width="7.42578125" customWidth="1"/>
    <col min="8657" max="8657" width="11.42578125" customWidth="1"/>
    <col min="8658" max="8659" width="12.42578125" customWidth="1"/>
    <col min="8660" max="8660" width="11.42578125" customWidth="1"/>
    <col min="8661" max="8662" width="8.42578125" customWidth="1"/>
    <col min="8663" max="8663" width="17.42578125" customWidth="1"/>
    <col min="8664" max="8664" width="12.42578125" customWidth="1"/>
    <col min="8665" max="8666" width="8.42578125" customWidth="1"/>
    <col min="8667" max="8667" width="43.42578125" customWidth="1"/>
    <col min="8669" max="8669" width="7.42578125" customWidth="1"/>
    <col min="8670" max="8670" width="11.42578125" customWidth="1"/>
    <col min="8671" max="8672" width="12.42578125" customWidth="1"/>
    <col min="8673" max="8673" width="11.42578125" customWidth="1"/>
    <col min="8674" max="8674" width="8.42578125" customWidth="1"/>
    <col min="8675" max="8675" width="8.42578125" bestFit="1" customWidth="1"/>
    <col min="8676" max="8676" width="17.42578125" bestFit="1" customWidth="1"/>
    <col min="8677" max="8677" width="12.42578125" bestFit="1" customWidth="1"/>
    <col min="8678" max="8679" width="8.42578125" customWidth="1"/>
    <col min="8680" max="8680" width="44" customWidth="1"/>
    <col min="8866" max="8866" width="22.42578125" bestFit="1" customWidth="1"/>
    <col min="8867" max="8867" width="8.42578125" customWidth="1"/>
    <col min="8868" max="8868" width="29.42578125" customWidth="1"/>
    <col min="8869" max="8869" width="7" customWidth="1"/>
    <col min="8870" max="8870" width="22.42578125" bestFit="1" customWidth="1"/>
    <col min="8871" max="8871" width="62.42578125" customWidth="1"/>
    <col min="8872" max="8872" width="2.42578125" customWidth="1"/>
    <col min="8873" max="8873" width="7" customWidth="1"/>
    <col min="8874" max="8874" width="11.42578125" customWidth="1"/>
    <col min="8875" max="8876" width="12.42578125" customWidth="1"/>
    <col min="8877" max="8879" width="8.42578125" customWidth="1"/>
    <col min="8880" max="8880" width="12.42578125" customWidth="1"/>
    <col min="8881" max="8882" width="8.42578125" customWidth="1"/>
    <col min="8883" max="8883" width="44" customWidth="1"/>
    <col min="8884" max="8884" width="10.42578125" customWidth="1"/>
    <col min="8885" max="8885" width="7.42578125" customWidth="1"/>
    <col min="8886" max="8886" width="11.42578125" customWidth="1"/>
    <col min="8887" max="8888" width="12.42578125" customWidth="1"/>
    <col min="8889" max="8889" width="11.42578125" customWidth="1"/>
    <col min="8890" max="8891" width="8.42578125" customWidth="1"/>
    <col min="8892" max="8892" width="17.42578125" customWidth="1"/>
    <col min="8893" max="8893" width="12.42578125" customWidth="1"/>
    <col min="8894" max="8895" width="8.42578125" customWidth="1"/>
    <col min="8896" max="8896" width="44" customWidth="1"/>
    <col min="8898" max="8898" width="7.42578125" customWidth="1"/>
    <col min="8899" max="8899" width="11.42578125" customWidth="1"/>
    <col min="8900" max="8901" width="12.42578125" customWidth="1"/>
    <col min="8902" max="8902" width="11.42578125" customWidth="1"/>
    <col min="8903" max="8904" width="8.42578125" customWidth="1"/>
    <col min="8905" max="8905" width="17.42578125" customWidth="1"/>
    <col min="8906" max="8906" width="12.42578125" customWidth="1"/>
    <col min="8907" max="8908" width="8.42578125" customWidth="1"/>
    <col min="8909" max="8909" width="44" customWidth="1"/>
    <col min="8912" max="8912" width="7.42578125" customWidth="1"/>
    <col min="8913" max="8913" width="11.42578125" customWidth="1"/>
    <col min="8914" max="8915" width="12.42578125" customWidth="1"/>
    <col min="8916" max="8916" width="11.42578125" customWidth="1"/>
    <col min="8917" max="8918" width="8.42578125" customWidth="1"/>
    <col min="8919" max="8919" width="17.42578125" customWidth="1"/>
    <col min="8920" max="8920" width="12.42578125" customWidth="1"/>
    <col min="8921" max="8922" width="8.42578125" customWidth="1"/>
    <col min="8923" max="8923" width="43.42578125" customWidth="1"/>
    <col min="8925" max="8925" width="7.42578125" customWidth="1"/>
    <col min="8926" max="8926" width="11.42578125" customWidth="1"/>
    <col min="8927" max="8928" width="12.42578125" customWidth="1"/>
    <col min="8929" max="8929" width="11.42578125" customWidth="1"/>
    <col min="8930" max="8930" width="8.42578125" customWidth="1"/>
    <col min="8931" max="8931" width="8.42578125" bestFit="1" customWidth="1"/>
    <col min="8932" max="8932" width="17.42578125" bestFit="1" customWidth="1"/>
    <col min="8933" max="8933" width="12.42578125" bestFit="1" customWidth="1"/>
    <col min="8934" max="8935" width="8.42578125" customWidth="1"/>
    <col min="8936" max="8936" width="44" customWidth="1"/>
    <col min="9122" max="9122" width="22.42578125" bestFit="1" customWidth="1"/>
    <col min="9123" max="9123" width="8.42578125" customWidth="1"/>
    <col min="9124" max="9124" width="29.42578125" customWidth="1"/>
    <col min="9125" max="9125" width="7" customWidth="1"/>
    <col min="9126" max="9126" width="22.42578125" bestFit="1" customWidth="1"/>
    <col min="9127" max="9127" width="62.42578125" customWidth="1"/>
    <col min="9128" max="9128" width="2.42578125" customWidth="1"/>
    <col min="9129" max="9129" width="7" customWidth="1"/>
    <col min="9130" max="9130" width="11.42578125" customWidth="1"/>
    <col min="9131" max="9132" width="12.42578125" customWidth="1"/>
    <col min="9133" max="9135" width="8.42578125" customWidth="1"/>
    <col min="9136" max="9136" width="12.42578125" customWidth="1"/>
    <col min="9137" max="9138" width="8.42578125" customWidth="1"/>
    <col min="9139" max="9139" width="44" customWidth="1"/>
    <col min="9140" max="9140" width="10.42578125" customWidth="1"/>
    <col min="9141" max="9141" width="7.42578125" customWidth="1"/>
    <col min="9142" max="9142" width="11.42578125" customWidth="1"/>
    <col min="9143" max="9144" width="12.42578125" customWidth="1"/>
    <col min="9145" max="9145" width="11.42578125" customWidth="1"/>
    <col min="9146" max="9147" width="8.42578125" customWidth="1"/>
    <col min="9148" max="9148" width="17.42578125" customWidth="1"/>
    <col min="9149" max="9149" width="12.42578125" customWidth="1"/>
    <col min="9150" max="9151" width="8.42578125" customWidth="1"/>
    <col min="9152" max="9152" width="44" customWidth="1"/>
    <col min="9154" max="9154" width="7.42578125" customWidth="1"/>
    <col min="9155" max="9155" width="11.42578125" customWidth="1"/>
    <col min="9156" max="9157" width="12.42578125" customWidth="1"/>
    <col min="9158" max="9158" width="11.42578125" customWidth="1"/>
    <col min="9159" max="9160" width="8.42578125" customWidth="1"/>
    <col min="9161" max="9161" width="17.42578125" customWidth="1"/>
    <col min="9162" max="9162" width="12.42578125" customWidth="1"/>
    <col min="9163" max="9164" width="8.42578125" customWidth="1"/>
    <col min="9165" max="9165" width="44" customWidth="1"/>
    <col min="9168" max="9168" width="7.42578125" customWidth="1"/>
    <col min="9169" max="9169" width="11.42578125" customWidth="1"/>
    <col min="9170" max="9171" width="12.42578125" customWidth="1"/>
    <col min="9172" max="9172" width="11.42578125" customWidth="1"/>
    <col min="9173" max="9174" width="8.42578125" customWidth="1"/>
    <col min="9175" max="9175" width="17.42578125" customWidth="1"/>
    <col min="9176" max="9176" width="12.42578125" customWidth="1"/>
    <col min="9177" max="9178" width="8.42578125" customWidth="1"/>
    <col min="9179" max="9179" width="43.42578125" customWidth="1"/>
    <col min="9181" max="9181" width="7.42578125" customWidth="1"/>
    <col min="9182" max="9182" width="11.42578125" customWidth="1"/>
    <col min="9183" max="9184" width="12.42578125" customWidth="1"/>
    <col min="9185" max="9185" width="11.42578125" customWidth="1"/>
    <col min="9186" max="9186" width="8.42578125" customWidth="1"/>
    <col min="9187" max="9187" width="8.42578125" bestFit="1" customWidth="1"/>
    <col min="9188" max="9188" width="17.42578125" bestFit="1" customWidth="1"/>
    <col min="9189" max="9189" width="12.42578125" bestFit="1" customWidth="1"/>
    <col min="9190" max="9191" width="8.42578125" customWidth="1"/>
    <col min="9192" max="9192" width="44" customWidth="1"/>
    <col min="9378" max="9378" width="22.42578125" bestFit="1" customWidth="1"/>
    <col min="9379" max="9379" width="8.42578125" customWidth="1"/>
    <col min="9380" max="9380" width="29.42578125" customWidth="1"/>
    <col min="9381" max="9381" width="7" customWidth="1"/>
    <col min="9382" max="9382" width="22.42578125" bestFit="1" customWidth="1"/>
    <col min="9383" max="9383" width="62.42578125" customWidth="1"/>
    <col min="9384" max="9384" width="2.42578125" customWidth="1"/>
    <col min="9385" max="9385" width="7" customWidth="1"/>
    <col min="9386" max="9386" width="11.42578125" customWidth="1"/>
    <col min="9387" max="9388" width="12.42578125" customWidth="1"/>
    <col min="9389" max="9391" width="8.42578125" customWidth="1"/>
    <col min="9392" max="9392" width="12.42578125" customWidth="1"/>
    <col min="9393" max="9394" width="8.42578125" customWidth="1"/>
    <col min="9395" max="9395" width="44" customWidth="1"/>
    <col min="9396" max="9396" width="10.42578125" customWidth="1"/>
    <col min="9397" max="9397" width="7.42578125" customWidth="1"/>
    <col min="9398" max="9398" width="11.42578125" customWidth="1"/>
    <col min="9399" max="9400" width="12.42578125" customWidth="1"/>
    <col min="9401" max="9401" width="11.42578125" customWidth="1"/>
    <col min="9402" max="9403" width="8.42578125" customWidth="1"/>
    <col min="9404" max="9404" width="17.42578125" customWidth="1"/>
    <col min="9405" max="9405" width="12.42578125" customWidth="1"/>
    <col min="9406" max="9407" width="8.42578125" customWidth="1"/>
    <col min="9408" max="9408" width="44" customWidth="1"/>
    <col min="9410" max="9410" width="7.42578125" customWidth="1"/>
    <col min="9411" max="9411" width="11.42578125" customWidth="1"/>
    <col min="9412" max="9413" width="12.42578125" customWidth="1"/>
    <col min="9414" max="9414" width="11.42578125" customWidth="1"/>
    <col min="9415" max="9416" width="8.42578125" customWidth="1"/>
    <col min="9417" max="9417" width="17.42578125" customWidth="1"/>
    <col min="9418" max="9418" width="12.42578125" customWidth="1"/>
    <col min="9419" max="9420" width="8.42578125" customWidth="1"/>
    <col min="9421" max="9421" width="44" customWidth="1"/>
    <col min="9424" max="9424" width="7.42578125" customWidth="1"/>
    <col min="9425" max="9425" width="11.42578125" customWidth="1"/>
    <col min="9426" max="9427" width="12.42578125" customWidth="1"/>
    <col min="9428" max="9428" width="11.42578125" customWidth="1"/>
    <col min="9429" max="9430" width="8.42578125" customWidth="1"/>
    <col min="9431" max="9431" width="17.42578125" customWidth="1"/>
    <col min="9432" max="9432" width="12.42578125" customWidth="1"/>
    <col min="9433" max="9434" width="8.42578125" customWidth="1"/>
    <col min="9435" max="9435" width="43.42578125" customWidth="1"/>
    <col min="9437" max="9437" width="7.42578125" customWidth="1"/>
    <col min="9438" max="9438" width="11.42578125" customWidth="1"/>
    <col min="9439" max="9440" width="12.42578125" customWidth="1"/>
    <col min="9441" max="9441" width="11.42578125" customWidth="1"/>
    <col min="9442" max="9442" width="8.42578125" customWidth="1"/>
    <col min="9443" max="9443" width="8.42578125" bestFit="1" customWidth="1"/>
    <col min="9444" max="9444" width="17.42578125" bestFit="1" customWidth="1"/>
    <col min="9445" max="9445" width="12.42578125" bestFit="1" customWidth="1"/>
    <col min="9446" max="9447" width="8.42578125" customWidth="1"/>
    <col min="9448" max="9448" width="44" customWidth="1"/>
    <col min="9634" max="9634" width="22.42578125" bestFit="1" customWidth="1"/>
    <col min="9635" max="9635" width="8.42578125" customWidth="1"/>
    <col min="9636" max="9636" width="29.42578125" customWidth="1"/>
    <col min="9637" max="9637" width="7" customWidth="1"/>
    <col min="9638" max="9638" width="22.42578125" bestFit="1" customWidth="1"/>
    <col min="9639" max="9639" width="62.42578125" customWidth="1"/>
    <col min="9640" max="9640" width="2.42578125" customWidth="1"/>
    <col min="9641" max="9641" width="7" customWidth="1"/>
    <col min="9642" max="9642" width="11.42578125" customWidth="1"/>
    <col min="9643" max="9644" width="12.42578125" customWidth="1"/>
    <col min="9645" max="9647" width="8.42578125" customWidth="1"/>
    <col min="9648" max="9648" width="12.42578125" customWidth="1"/>
    <col min="9649" max="9650" width="8.42578125" customWidth="1"/>
    <col min="9651" max="9651" width="44" customWidth="1"/>
    <col min="9652" max="9652" width="10.42578125" customWidth="1"/>
    <col min="9653" max="9653" width="7.42578125" customWidth="1"/>
    <col min="9654" max="9654" width="11.42578125" customWidth="1"/>
    <col min="9655" max="9656" width="12.42578125" customWidth="1"/>
    <col min="9657" max="9657" width="11.42578125" customWidth="1"/>
    <col min="9658" max="9659" width="8.42578125" customWidth="1"/>
    <col min="9660" max="9660" width="17.42578125" customWidth="1"/>
    <col min="9661" max="9661" width="12.42578125" customWidth="1"/>
    <col min="9662" max="9663" width="8.42578125" customWidth="1"/>
    <col min="9664" max="9664" width="44" customWidth="1"/>
    <col min="9666" max="9666" width="7.42578125" customWidth="1"/>
    <col min="9667" max="9667" width="11.42578125" customWidth="1"/>
    <col min="9668" max="9669" width="12.42578125" customWidth="1"/>
    <col min="9670" max="9670" width="11.42578125" customWidth="1"/>
    <col min="9671" max="9672" width="8.42578125" customWidth="1"/>
    <col min="9673" max="9673" width="17.42578125" customWidth="1"/>
    <col min="9674" max="9674" width="12.42578125" customWidth="1"/>
    <col min="9675" max="9676" width="8.42578125" customWidth="1"/>
    <col min="9677" max="9677" width="44" customWidth="1"/>
    <col min="9680" max="9680" width="7.42578125" customWidth="1"/>
    <col min="9681" max="9681" width="11.42578125" customWidth="1"/>
    <col min="9682" max="9683" width="12.42578125" customWidth="1"/>
    <col min="9684" max="9684" width="11.42578125" customWidth="1"/>
    <col min="9685" max="9686" width="8.42578125" customWidth="1"/>
    <col min="9687" max="9687" width="17.42578125" customWidth="1"/>
    <col min="9688" max="9688" width="12.42578125" customWidth="1"/>
    <col min="9689" max="9690" width="8.42578125" customWidth="1"/>
    <col min="9691" max="9691" width="43.42578125" customWidth="1"/>
    <col min="9693" max="9693" width="7.42578125" customWidth="1"/>
    <col min="9694" max="9694" width="11.42578125" customWidth="1"/>
    <col min="9695" max="9696" width="12.42578125" customWidth="1"/>
    <col min="9697" max="9697" width="11.42578125" customWidth="1"/>
    <col min="9698" max="9698" width="8.42578125" customWidth="1"/>
    <col min="9699" max="9699" width="8.42578125" bestFit="1" customWidth="1"/>
    <col min="9700" max="9700" width="17.42578125" bestFit="1" customWidth="1"/>
    <col min="9701" max="9701" width="12.42578125" bestFit="1" customWidth="1"/>
    <col min="9702" max="9703" width="8.42578125" customWidth="1"/>
    <col min="9704" max="9704" width="44" customWidth="1"/>
    <col min="9890" max="9890" width="22.42578125" bestFit="1" customWidth="1"/>
    <col min="9891" max="9891" width="8.42578125" customWidth="1"/>
    <col min="9892" max="9892" width="29.42578125" customWidth="1"/>
    <col min="9893" max="9893" width="7" customWidth="1"/>
    <col min="9894" max="9894" width="22.42578125" bestFit="1" customWidth="1"/>
    <col min="9895" max="9895" width="62.42578125" customWidth="1"/>
    <col min="9896" max="9896" width="2.42578125" customWidth="1"/>
    <col min="9897" max="9897" width="7" customWidth="1"/>
    <col min="9898" max="9898" width="11.42578125" customWidth="1"/>
    <col min="9899" max="9900" width="12.42578125" customWidth="1"/>
    <col min="9901" max="9903" width="8.42578125" customWidth="1"/>
    <col min="9904" max="9904" width="12.42578125" customWidth="1"/>
    <col min="9905" max="9906" width="8.42578125" customWidth="1"/>
    <col min="9907" max="9907" width="44" customWidth="1"/>
    <col min="9908" max="9908" width="10.42578125" customWidth="1"/>
    <col min="9909" max="9909" width="7.42578125" customWidth="1"/>
    <col min="9910" max="9910" width="11.42578125" customWidth="1"/>
    <col min="9911" max="9912" width="12.42578125" customWidth="1"/>
    <col min="9913" max="9913" width="11.42578125" customWidth="1"/>
    <col min="9914" max="9915" width="8.42578125" customWidth="1"/>
    <col min="9916" max="9916" width="17.42578125" customWidth="1"/>
    <col min="9917" max="9917" width="12.42578125" customWidth="1"/>
    <col min="9918" max="9919" width="8.42578125" customWidth="1"/>
    <col min="9920" max="9920" width="44" customWidth="1"/>
    <col min="9922" max="9922" width="7.42578125" customWidth="1"/>
    <col min="9923" max="9923" width="11.42578125" customWidth="1"/>
    <col min="9924" max="9925" width="12.42578125" customWidth="1"/>
    <col min="9926" max="9926" width="11.42578125" customWidth="1"/>
    <col min="9927" max="9928" width="8.42578125" customWidth="1"/>
    <col min="9929" max="9929" width="17.42578125" customWidth="1"/>
    <col min="9930" max="9930" width="12.42578125" customWidth="1"/>
    <col min="9931" max="9932" width="8.42578125" customWidth="1"/>
    <col min="9933" max="9933" width="44" customWidth="1"/>
    <col min="9936" max="9936" width="7.42578125" customWidth="1"/>
    <col min="9937" max="9937" width="11.42578125" customWidth="1"/>
    <col min="9938" max="9939" width="12.42578125" customWidth="1"/>
    <col min="9940" max="9940" width="11.42578125" customWidth="1"/>
    <col min="9941" max="9942" width="8.42578125" customWidth="1"/>
    <col min="9943" max="9943" width="17.42578125" customWidth="1"/>
    <col min="9944" max="9944" width="12.42578125" customWidth="1"/>
    <col min="9945" max="9946" width="8.42578125" customWidth="1"/>
    <col min="9947" max="9947" width="43.42578125" customWidth="1"/>
    <col min="9949" max="9949" width="7.42578125" customWidth="1"/>
    <col min="9950" max="9950" width="11.42578125" customWidth="1"/>
    <col min="9951" max="9952" width="12.42578125" customWidth="1"/>
    <col min="9953" max="9953" width="11.42578125" customWidth="1"/>
    <col min="9954" max="9954" width="8.42578125" customWidth="1"/>
    <col min="9955" max="9955" width="8.42578125" bestFit="1" customWidth="1"/>
    <col min="9956" max="9956" width="17.42578125" bestFit="1" customWidth="1"/>
    <col min="9957" max="9957" width="12.42578125" bestFit="1" customWidth="1"/>
    <col min="9958" max="9959" width="8.42578125" customWidth="1"/>
    <col min="9960" max="9960" width="44" customWidth="1"/>
    <col min="10146" max="10146" width="22.42578125" bestFit="1" customWidth="1"/>
    <col min="10147" max="10147" width="8.42578125" customWidth="1"/>
    <col min="10148" max="10148" width="29.42578125" customWidth="1"/>
    <col min="10149" max="10149" width="7" customWidth="1"/>
    <col min="10150" max="10150" width="22.42578125" bestFit="1" customWidth="1"/>
    <col min="10151" max="10151" width="62.42578125" customWidth="1"/>
    <col min="10152" max="10152" width="2.42578125" customWidth="1"/>
    <col min="10153" max="10153" width="7" customWidth="1"/>
    <col min="10154" max="10154" width="11.42578125" customWidth="1"/>
    <col min="10155" max="10156" width="12.42578125" customWidth="1"/>
    <col min="10157" max="10159" width="8.42578125" customWidth="1"/>
    <col min="10160" max="10160" width="12.42578125" customWidth="1"/>
    <col min="10161" max="10162" width="8.42578125" customWidth="1"/>
    <col min="10163" max="10163" width="44" customWidth="1"/>
    <col min="10164" max="10164" width="10.42578125" customWidth="1"/>
    <col min="10165" max="10165" width="7.42578125" customWidth="1"/>
    <col min="10166" max="10166" width="11.42578125" customWidth="1"/>
    <col min="10167" max="10168" width="12.42578125" customWidth="1"/>
    <col min="10169" max="10169" width="11.42578125" customWidth="1"/>
    <col min="10170" max="10171" width="8.42578125" customWidth="1"/>
    <col min="10172" max="10172" width="17.42578125" customWidth="1"/>
    <col min="10173" max="10173" width="12.42578125" customWidth="1"/>
    <col min="10174" max="10175" width="8.42578125" customWidth="1"/>
    <col min="10176" max="10176" width="44" customWidth="1"/>
    <col min="10178" max="10178" width="7.42578125" customWidth="1"/>
    <col min="10179" max="10179" width="11.42578125" customWidth="1"/>
    <col min="10180" max="10181" width="12.42578125" customWidth="1"/>
    <col min="10182" max="10182" width="11.42578125" customWidth="1"/>
    <col min="10183" max="10184" width="8.42578125" customWidth="1"/>
    <col min="10185" max="10185" width="17.42578125" customWidth="1"/>
    <col min="10186" max="10186" width="12.42578125" customWidth="1"/>
    <col min="10187" max="10188" width="8.42578125" customWidth="1"/>
    <col min="10189" max="10189" width="44" customWidth="1"/>
    <col min="10192" max="10192" width="7.42578125" customWidth="1"/>
    <col min="10193" max="10193" width="11.42578125" customWidth="1"/>
    <col min="10194" max="10195" width="12.42578125" customWidth="1"/>
    <col min="10196" max="10196" width="11.42578125" customWidth="1"/>
    <col min="10197" max="10198" width="8.42578125" customWidth="1"/>
    <col min="10199" max="10199" width="17.42578125" customWidth="1"/>
    <col min="10200" max="10200" width="12.42578125" customWidth="1"/>
    <col min="10201" max="10202" width="8.42578125" customWidth="1"/>
    <col min="10203" max="10203" width="43.42578125" customWidth="1"/>
    <col min="10205" max="10205" width="7.42578125" customWidth="1"/>
    <col min="10206" max="10206" width="11.42578125" customWidth="1"/>
    <col min="10207" max="10208" width="12.42578125" customWidth="1"/>
    <col min="10209" max="10209" width="11.42578125" customWidth="1"/>
    <col min="10210" max="10210" width="8.42578125" customWidth="1"/>
    <col min="10211" max="10211" width="8.42578125" bestFit="1" customWidth="1"/>
    <col min="10212" max="10212" width="17.42578125" bestFit="1" customWidth="1"/>
    <col min="10213" max="10213" width="12.42578125" bestFit="1" customWidth="1"/>
    <col min="10214" max="10215" width="8.42578125" customWidth="1"/>
    <col min="10216" max="10216" width="44" customWidth="1"/>
    <col min="10402" max="10402" width="22.42578125" bestFit="1" customWidth="1"/>
    <col min="10403" max="10403" width="8.42578125" customWidth="1"/>
    <col min="10404" max="10404" width="29.42578125" customWidth="1"/>
    <col min="10405" max="10405" width="7" customWidth="1"/>
    <col min="10406" max="10406" width="22.42578125" bestFit="1" customWidth="1"/>
    <col min="10407" max="10407" width="62.42578125" customWidth="1"/>
    <col min="10408" max="10408" width="2.42578125" customWidth="1"/>
    <col min="10409" max="10409" width="7" customWidth="1"/>
    <col min="10410" max="10410" width="11.42578125" customWidth="1"/>
    <col min="10411" max="10412" width="12.42578125" customWidth="1"/>
    <col min="10413" max="10415" width="8.42578125" customWidth="1"/>
    <col min="10416" max="10416" width="12.42578125" customWidth="1"/>
    <col min="10417" max="10418" width="8.42578125" customWidth="1"/>
    <col min="10419" max="10419" width="44" customWidth="1"/>
    <col min="10420" max="10420" width="10.42578125" customWidth="1"/>
    <col min="10421" max="10421" width="7.42578125" customWidth="1"/>
    <col min="10422" max="10422" width="11.42578125" customWidth="1"/>
    <col min="10423" max="10424" width="12.42578125" customWidth="1"/>
    <col min="10425" max="10425" width="11.42578125" customWidth="1"/>
    <col min="10426" max="10427" width="8.42578125" customWidth="1"/>
    <col min="10428" max="10428" width="17.42578125" customWidth="1"/>
    <col min="10429" max="10429" width="12.42578125" customWidth="1"/>
    <col min="10430" max="10431" width="8.42578125" customWidth="1"/>
    <col min="10432" max="10432" width="44" customWidth="1"/>
    <col min="10434" max="10434" width="7.42578125" customWidth="1"/>
    <col min="10435" max="10435" width="11.42578125" customWidth="1"/>
    <col min="10436" max="10437" width="12.42578125" customWidth="1"/>
    <col min="10438" max="10438" width="11.42578125" customWidth="1"/>
    <col min="10439" max="10440" width="8.42578125" customWidth="1"/>
    <col min="10441" max="10441" width="17.42578125" customWidth="1"/>
    <col min="10442" max="10442" width="12.42578125" customWidth="1"/>
    <col min="10443" max="10444" width="8.42578125" customWidth="1"/>
    <col min="10445" max="10445" width="44" customWidth="1"/>
    <col min="10448" max="10448" width="7.42578125" customWidth="1"/>
    <col min="10449" max="10449" width="11.42578125" customWidth="1"/>
    <col min="10450" max="10451" width="12.42578125" customWidth="1"/>
    <col min="10452" max="10452" width="11.42578125" customWidth="1"/>
    <col min="10453" max="10454" width="8.42578125" customWidth="1"/>
    <col min="10455" max="10455" width="17.42578125" customWidth="1"/>
    <col min="10456" max="10456" width="12.42578125" customWidth="1"/>
    <col min="10457" max="10458" width="8.42578125" customWidth="1"/>
    <col min="10459" max="10459" width="43.42578125" customWidth="1"/>
    <col min="10461" max="10461" width="7.42578125" customWidth="1"/>
    <col min="10462" max="10462" width="11.42578125" customWidth="1"/>
    <col min="10463" max="10464" width="12.42578125" customWidth="1"/>
    <col min="10465" max="10465" width="11.42578125" customWidth="1"/>
    <col min="10466" max="10466" width="8.42578125" customWidth="1"/>
    <col min="10467" max="10467" width="8.42578125" bestFit="1" customWidth="1"/>
    <col min="10468" max="10468" width="17.42578125" bestFit="1" customWidth="1"/>
    <col min="10469" max="10469" width="12.42578125" bestFit="1" customWidth="1"/>
    <col min="10470" max="10471" width="8.42578125" customWidth="1"/>
    <col min="10472" max="10472" width="44" customWidth="1"/>
    <col min="10658" max="10658" width="22.42578125" bestFit="1" customWidth="1"/>
    <col min="10659" max="10659" width="8.42578125" customWidth="1"/>
    <col min="10660" max="10660" width="29.42578125" customWidth="1"/>
    <col min="10661" max="10661" width="7" customWidth="1"/>
    <col min="10662" max="10662" width="22.42578125" bestFit="1" customWidth="1"/>
    <col min="10663" max="10663" width="62.42578125" customWidth="1"/>
    <col min="10664" max="10664" width="2.42578125" customWidth="1"/>
    <col min="10665" max="10665" width="7" customWidth="1"/>
    <col min="10666" max="10666" width="11.42578125" customWidth="1"/>
    <col min="10667" max="10668" width="12.42578125" customWidth="1"/>
    <col min="10669" max="10671" width="8.42578125" customWidth="1"/>
    <col min="10672" max="10672" width="12.42578125" customWidth="1"/>
    <col min="10673" max="10674" width="8.42578125" customWidth="1"/>
    <col min="10675" max="10675" width="44" customWidth="1"/>
    <col min="10676" max="10676" width="10.42578125" customWidth="1"/>
    <col min="10677" max="10677" width="7.42578125" customWidth="1"/>
    <col min="10678" max="10678" width="11.42578125" customWidth="1"/>
    <col min="10679" max="10680" width="12.42578125" customWidth="1"/>
    <col min="10681" max="10681" width="11.42578125" customWidth="1"/>
    <col min="10682" max="10683" width="8.42578125" customWidth="1"/>
    <col min="10684" max="10684" width="17.42578125" customWidth="1"/>
    <col min="10685" max="10685" width="12.42578125" customWidth="1"/>
    <col min="10686" max="10687" width="8.42578125" customWidth="1"/>
    <col min="10688" max="10688" width="44" customWidth="1"/>
    <col min="10690" max="10690" width="7.42578125" customWidth="1"/>
    <col min="10691" max="10691" width="11.42578125" customWidth="1"/>
    <col min="10692" max="10693" width="12.42578125" customWidth="1"/>
    <col min="10694" max="10694" width="11.42578125" customWidth="1"/>
    <col min="10695" max="10696" width="8.42578125" customWidth="1"/>
    <col min="10697" max="10697" width="17.42578125" customWidth="1"/>
    <col min="10698" max="10698" width="12.42578125" customWidth="1"/>
    <col min="10699" max="10700" width="8.42578125" customWidth="1"/>
    <col min="10701" max="10701" width="44" customWidth="1"/>
    <col min="10704" max="10704" width="7.42578125" customWidth="1"/>
    <col min="10705" max="10705" width="11.42578125" customWidth="1"/>
    <col min="10706" max="10707" width="12.42578125" customWidth="1"/>
    <col min="10708" max="10708" width="11.42578125" customWidth="1"/>
    <col min="10709" max="10710" width="8.42578125" customWidth="1"/>
    <col min="10711" max="10711" width="17.42578125" customWidth="1"/>
    <col min="10712" max="10712" width="12.42578125" customWidth="1"/>
    <col min="10713" max="10714" width="8.42578125" customWidth="1"/>
    <col min="10715" max="10715" width="43.42578125" customWidth="1"/>
    <col min="10717" max="10717" width="7.42578125" customWidth="1"/>
    <col min="10718" max="10718" width="11.42578125" customWidth="1"/>
    <col min="10719" max="10720" width="12.42578125" customWidth="1"/>
    <col min="10721" max="10721" width="11.42578125" customWidth="1"/>
    <col min="10722" max="10722" width="8.42578125" customWidth="1"/>
    <col min="10723" max="10723" width="8.42578125" bestFit="1" customWidth="1"/>
    <col min="10724" max="10724" width="17.42578125" bestFit="1" customWidth="1"/>
    <col min="10725" max="10725" width="12.42578125" bestFit="1" customWidth="1"/>
    <col min="10726" max="10727" width="8.42578125" customWidth="1"/>
    <col min="10728" max="10728" width="44" customWidth="1"/>
    <col min="10914" max="10914" width="22.42578125" bestFit="1" customWidth="1"/>
    <col min="10915" max="10915" width="8.42578125" customWidth="1"/>
    <col min="10916" max="10916" width="29.42578125" customWidth="1"/>
    <col min="10917" max="10917" width="7" customWidth="1"/>
    <col min="10918" max="10918" width="22.42578125" bestFit="1" customWidth="1"/>
    <col min="10919" max="10919" width="62.42578125" customWidth="1"/>
    <col min="10920" max="10920" width="2.42578125" customWidth="1"/>
    <col min="10921" max="10921" width="7" customWidth="1"/>
    <col min="10922" max="10922" width="11.42578125" customWidth="1"/>
    <col min="10923" max="10924" width="12.42578125" customWidth="1"/>
    <col min="10925" max="10927" width="8.42578125" customWidth="1"/>
    <col min="10928" max="10928" width="12.42578125" customWidth="1"/>
    <col min="10929" max="10930" width="8.42578125" customWidth="1"/>
    <col min="10931" max="10931" width="44" customWidth="1"/>
    <col min="10932" max="10932" width="10.42578125" customWidth="1"/>
    <col min="10933" max="10933" width="7.42578125" customWidth="1"/>
    <col min="10934" max="10934" width="11.42578125" customWidth="1"/>
    <col min="10935" max="10936" width="12.42578125" customWidth="1"/>
    <col min="10937" max="10937" width="11.42578125" customWidth="1"/>
    <col min="10938" max="10939" width="8.42578125" customWidth="1"/>
    <col min="10940" max="10940" width="17.42578125" customWidth="1"/>
    <col min="10941" max="10941" width="12.42578125" customWidth="1"/>
    <col min="10942" max="10943" width="8.42578125" customWidth="1"/>
    <col min="10944" max="10944" width="44" customWidth="1"/>
    <col min="10946" max="10946" width="7.42578125" customWidth="1"/>
    <col min="10947" max="10947" width="11.42578125" customWidth="1"/>
    <col min="10948" max="10949" width="12.42578125" customWidth="1"/>
    <col min="10950" max="10950" width="11.42578125" customWidth="1"/>
    <col min="10951" max="10952" width="8.42578125" customWidth="1"/>
    <col min="10953" max="10953" width="17.42578125" customWidth="1"/>
    <col min="10954" max="10954" width="12.42578125" customWidth="1"/>
    <col min="10955" max="10956" width="8.42578125" customWidth="1"/>
    <col min="10957" max="10957" width="44" customWidth="1"/>
    <col min="10960" max="10960" width="7.42578125" customWidth="1"/>
    <col min="10961" max="10961" width="11.42578125" customWidth="1"/>
    <col min="10962" max="10963" width="12.42578125" customWidth="1"/>
    <col min="10964" max="10964" width="11.42578125" customWidth="1"/>
    <col min="10965" max="10966" width="8.42578125" customWidth="1"/>
    <col min="10967" max="10967" width="17.42578125" customWidth="1"/>
    <col min="10968" max="10968" width="12.42578125" customWidth="1"/>
    <col min="10969" max="10970" width="8.42578125" customWidth="1"/>
    <col min="10971" max="10971" width="43.42578125" customWidth="1"/>
    <col min="10973" max="10973" width="7.42578125" customWidth="1"/>
    <col min="10974" max="10974" width="11.42578125" customWidth="1"/>
    <col min="10975" max="10976" width="12.42578125" customWidth="1"/>
    <col min="10977" max="10977" width="11.42578125" customWidth="1"/>
    <col min="10978" max="10978" width="8.42578125" customWidth="1"/>
    <col min="10979" max="10979" width="8.42578125" bestFit="1" customWidth="1"/>
    <col min="10980" max="10980" width="17.42578125" bestFit="1" customWidth="1"/>
    <col min="10981" max="10981" width="12.42578125" bestFit="1" customWidth="1"/>
    <col min="10982" max="10983" width="8.42578125" customWidth="1"/>
    <col min="10984" max="10984" width="44" customWidth="1"/>
    <col min="11170" max="11170" width="22.42578125" bestFit="1" customWidth="1"/>
    <col min="11171" max="11171" width="8.42578125" customWidth="1"/>
    <col min="11172" max="11172" width="29.42578125" customWidth="1"/>
    <col min="11173" max="11173" width="7" customWidth="1"/>
    <col min="11174" max="11174" width="22.42578125" bestFit="1" customWidth="1"/>
    <col min="11175" max="11175" width="62.42578125" customWidth="1"/>
    <col min="11176" max="11176" width="2.42578125" customWidth="1"/>
    <col min="11177" max="11177" width="7" customWidth="1"/>
    <col min="11178" max="11178" width="11.42578125" customWidth="1"/>
    <col min="11179" max="11180" width="12.42578125" customWidth="1"/>
    <col min="11181" max="11183" width="8.42578125" customWidth="1"/>
    <col min="11184" max="11184" width="12.42578125" customWidth="1"/>
    <col min="11185" max="11186" width="8.42578125" customWidth="1"/>
    <col min="11187" max="11187" width="44" customWidth="1"/>
    <col min="11188" max="11188" width="10.42578125" customWidth="1"/>
    <col min="11189" max="11189" width="7.42578125" customWidth="1"/>
    <col min="11190" max="11190" width="11.42578125" customWidth="1"/>
    <col min="11191" max="11192" width="12.42578125" customWidth="1"/>
    <col min="11193" max="11193" width="11.42578125" customWidth="1"/>
    <col min="11194" max="11195" width="8.42578125" customWidth="1"/>
    <col min="11196" max="11196" width="17.42578125" customWidth="1"/>
    <col min="11197" max="11197" width="12.42578125" customWidth="1"/>
    <col min="11198" max="11199" width="8.42578125" customWidth="1"/>
    <col min="11200" max="11200" width="44" customWidth="1"/>
    <col min="11202" max="11202" width="7.42578125" customWidth="1"/>
    <col min="11203" max="11203" width="11.42578125" customWidth="1"/>
    <col min="11204" max="11205" width="12.42578125" customWidth="1"/>
    <col min="11206" max="11206" width="11.42578125" customWidth="1"/>
    <col min="11207" max="11208" width="8.42578125" customWidth="1"/>
    <col min="11209" max="11209" width="17.42578125" customWidth="1"/>
    <col min="11210" max="11210" width="12.42578125" customWidth="1"/>
    <col min="11211" max="11212" width="8.42578125" customWidth="1"/>
    <col min="11213" max="11213" width="44" customWidth="1"/>
    <col min="11216" max="11216" width="7.42578125" customWidth="1"/>
    <col min="11217" max="11217" width="11.42578125" customWidth="1"/>
    <col min="11218" max="11219" width="12.42578125" customWidth="1"/>
    <col min="11220" max="11220" width="11.42578125" customWidth="1"/>
    <col min="11221" max="11222" width="8.42578125" customWidth="1"/>
    <col min="11223" max="11223" width="17.42578125" customWidth="1"/>
    <col min="11224" max="11224" width="12.42578125" customWidth="1"/>
    <col min="11225" max="11226" width="8.42578125" customWidth="1"/>
    <col min="11227" max="11227" width="43.42578125" customWidth="1"/>
    <col min="11229" max="11229" width="7.42578125" customWidth="1"/>
    <col min="11230" max="11230" width="11.42578125" customWidth="1"/>
    <col min="11231" max="11232" width="12.42578125" customWidth="1"/>
    <col min="11233" max="11233" width="11.42578125" customWidth="1"/>
    <col min="11234" max="11234" width="8.42578125" customWidth="1"/>
    <col min="11235" max="11235" width="8.42578125" bestFit="1" customWidth="1"/>
    <col min="11236" max="11236" width="17.42578125" bestFit="1" customWidth="1"/>
    <col min="11237" max="11237" width="12.42578125" bestFit="1" customWidth="1"/>
    <col min="11238" max="11239" width="8.42578125" customWidth="1"/>
    <col min="11240" max="11240" width="44" customWidth="1"/>
    <col min="11426" max="11426" width="22.42578125" bestFit="1" customWidth="1"/>
    <col min="11427" max="11427" width="8.42578125" customWidth="1"/>
    <col min="11428" max="11428" width="29.42578125" customWidth="1"/>
    <col min="11429" max="11429" width="7" customWidth="1"/>
    <col min="11430" max="11430" width="22.42578125" bestFit="1" customWidth="1"/>
    <col min="11431" max="11431" width="62.42578125" customWidth="1"/>
    <col min="11432" max="11432" width="2.42578125" customWidth="1"/>
    <col min="11433" max="11433" width="7" customWidth="1"/>
    <col min="11434" max="11434" width="11.42578125" customWidth="1"/>
    <col min="11435" max="11436" width="12.42578125" customWidth="1"/>
    <col min="11437" max="11439" width="8.42578125" customWidth="1"/>
    <col min="11440" max="11440" width="12.42578125" customWidth="1"/>
    <col min="11441" max="11442" width="8.42578125" customWidth="1"/>
    <col min="11443" max="11443" width="44" customWidth="1"/>
    <col min="11444" max="11444" width="10.42578125" customWidth="1"/>
    <col min="11445" max="11445" width="7.42578125" customWidth="1"/>
    <col min="11446" max="11446" width="11.42578125" customWidth="1"/>
    <col min="11447" max="11448" width="12.42578125" customWidth="1"/>
    <col min="11449" max="11449" width="11.42578125" customWidth="1"/>
    <col min="11450" max="11451" width="8.42578125" customWidth="1"/>
    <col min="11452" max="11452" width="17.42578125" customWidth="1"/>
    <col min="11453" max="11453" width="12.42578125" customWidth="1"/>
    <col min="11454" max="11455" width="8.42578125" customWidth="1"/>
    <col min="11456" max="11456" width="44" customWidth="1"/>
    <col min="11458" max="11458" width="7.42578125" customWidth="1"/>
    <col min="11459" max="11459" width="11.42578125" customWidth="1"/>
    <col min="11460" max="11461" width="12.42578125" customWidth="1"/>
    <col min="11462" max="11462" width="11.42578125" customWidth="1"/>
    <col min="11463" max="11464" width="8.42578125" customWidth="1"/>
    <col min="11465" max="11465" width="17.42578125" customWidth="1"/>
    <col min="11466" max="11466" width="12.42578125" customWidth="1"/>
    <col min="11467" max="11468" width="8.42578125" customWidth="1"/>
    <col min="11469" max="11469" width="44" customWidth="1"/>
    <col min="11472" max="11472" width="7.42578125" customWidth="1"/>
    <col min="11473" max="11473" width="11.42578125" customWidth="1"/>
    <col min="11474" max="11475" width="12.42578125" customWidth="1"/>
    <col min="11476" max="11476" width="11.42578125" customWidth="1"/>
    <col min="11477" max="11478" width="8.42578125" customWidth="1"/>
    <col min="11479" max="11479" width="17.42578125" customWidth="1"/>
    <col min="11480" max="11480" width="12.42578125" customWidth="1"/>
    <col min="11481" max="11482" width="8.42578125" customWidth="1"/>
    <col min="11483" max="11483" width="43.42578125" customWidth="1"/>
    <col min="11485" max="11485" width="7.42578125" customWidth="1"/>
    <col min="11486" max="11486" width="11.42578125" customWidth="1"/>
    <col min="11487" max="11488" width="12.42578125" customWidth="1"/>
    <col min="11489" max="11489" width="11.42578125" customWidth="1"/>
    <col min="11490" max="11490" width="8.42578125" customWidth="1"/>
    <col min="11491" max="11491" width="8.42578125" bestFit="1" customWidth="1"/>
    <col min="11492" max="11492" width="17.42578125" bestFit="1" customWidth="1"/>
    <col min="11493" max="11493" width="12.42578125" bestFit="1" customWidth="1"/>
    <col min="11494" max="11495" width="8.42578125" customWidth="1"/>
    <col min="11496" max="11496" width="44" customWidth="1"/>
    <col min="11682" max="11682" width="22.42578125" bestFit="1" customWidth="1"/>
    <col min="11683" max="11683" width="8.42578125" customWidth="1"/>
    <col min="11684" max="11684" width="29.42578125" customWidth="1"/>
    <col min="11685" max="11685" width="7" customWidth="1"/>
    <col min="11686" max="11686" width="22.42578125" bestFit="1" customWidth="1"/>
    <col min="11687" max="11687" width="62.42578125" customWidth="1"/>
    <col min="11688" max="11688" width="2.42578125" customWidth="1"/>
    <col min="11689" max="11689" width="7" customWidth="1"/>
    <col min="11690" max="11690" width="11.42578125" customWidth="1"/>
    <col min="11691" max="11692" width="12.42578125" customWidth="1"/>
    <col min="11693" max="11695" width="8.42578125" customWidth="1"/>
    <col min="11696" max="11696" width="12.42578125" customWidth="1"/>
    <col min="11697" max="11698" width="8.42578125" customWidth="1"/>
    <col min="11699" max="11699" width="44" customWidth="1"/>
    <col min="11700" max="11700" width="10.42578125" customWidth="1"/>
    <col min="11701" max="11701" width="7.42578125" customWidth="1"/>
    <col min="11702" max="11702" width="11.42578125" customWidth="1"/>
    <col min="11703" max="11704" width="12.42578125" customWidth="1"/>
    <col min="11705" max="11705" width="11.42578125" customWidth="1"/>
    <col min="11706" max="11707" width="8.42578125" customWidth="1"/>
    <col min="11708" max="11708" width="17.42578125" customWidth="1"/>
    <col min="11709" max="11709" width="12.42578125" customWidth="1"/>
    <col min="11710" max="11711" width="8.42578125" customWidth="1"/>
    <col min="11712" max="11712" width="44" customWidth="1"/>
    <col min="11714" max="11714" width="7.42578125" customWidth="1"/>
    <col min="11715" max="11715" width="11.42578125" customWidth="1"/>
    <col min="11716" max="11717" width="12.42578125" customWidth="1"/>
    <col min="11718" max="11718" width="11.42578125" customWidth="1"/>
    <col min="11719" max="11720" width="8.42578125" customWidth="1"/>
    <col min="11721" max="11721" width="17.42578125" customWidth="1"/>
    <col min="11722" max="11722" width="12.42578125" customWidth="1"/>
    <col min="11723" max="11724" width="8.42578125" customWidth="1"/>
    <col min="11725" max="11725" width="44" customWidth="1"/>
    <col min="11728" max="11728" width="7.42578125" customWidth="1"/>
    <col min="11729" max="11729" width="11.42578125" customWidth="1"/>
    <col min="11730" max="11731" width="12.42578125" customWidth="1"/>
    <col min="11732" max="11732" width="11.42578125" customWidth="1"/>
    <col min="11733" max="11734" width="8.42578125" customWidth="1"/>
    <col min="11735" max="11735" width="17.42578125" customWidth="1"/>
    <col min="11736" max="11736" width="12.42578125" customWidth="1"/>
    <col min="11737" max="11738" width="8.42578125" customWidth="1"/>
    <col min="11739" max="11739" width="43.42578125" customWidth="1"/>
    <col min="11741" max="11741" width="7.42578125" customWidth="1"/>
    <col min="11742" max="11742" width="11.42578125" customWidth="1"/>
    <col min="11743" max="11744" width="12.42578125" customWidth="1"/>
    <col min="11745" max="11745" width="11.42578125" customWidth="1"/>
    <col min="11746" max="11746" width="8.42578125" customWidth="1"/>
    <col min="11747" max="11747" width="8.42578125" bestFit="1" customWidth="1"/>
    <col min="11748" max="11748" width="17.42578125" bestFit="1" customWidth="1"/>
    <col min="11749" max="11749" width="12.42578125" bestFit="1" customWidth="1"/>
    <col min="11750" max="11751" width="8.42578125" customWidth="1"/>
    <col min="11752" max="11752" width="44" customWidth="1"/>
    <col min="11938" max="11938" width="22.42578125" bestFit="1" customWidth="1"/>
    <col min="11939" max="11939" width="8.42578125" customWidth="1"/>
    <col min="11940" max="11940" width="29.42578125" customWidth="1"/>
    <col min="11941" max="11941" width="7" customWidth="1"/>
    <col min="11942" max="11942" width="22.42578125" bestFit="1" customWidth="1"/>
    <col min="11943" max="11943" width="62.42578125" customWidth="1"/>
    <col min="11944" max="11944" width="2.42578125" customWidth="1"/>
    <col min="11945" max="11945" width="7" customWidth="1"/>
    <col min="11946" max="11946" width="11.42578125" customWidth="1"/>
    <col min="11947" max="11948" width="12.42578125" customWidth="1"/>
    <col min="11949" max="11951" width="8.42578125" customWidth="1"/>
    <col min="11952" max="11952" width="12.42578125" customWidth="1"/>
    <col min="11953" max="11954" width="8.42578125" customWidth="1"/>
    <col min="11955" max="11955" width="44" customWidth="1"/>
    <col min="11956" max="11956" width="10.42578125" customWidth="1"/>
    <col min="11957" max="11957" width="7.42578125" customWidth="1"/>
    <col min="11958" max="11958" width="11.42578125" customWidth="1"/>
    <col min="11959" max="11960" width="12.42578125" customWidth="1"/>
    <col min="11961" max="11961" width="11.42578125" customWidth="1"/>
    <col min="11962" max="11963" width="8.42578125" customWidth="1"/>
    <col min="11964" max="11964" width="17.42578125" customWidth="1"/>
    <col min="11965" max="11965" width="12.42578125" customWidth="1"/>
    <col min="11966" max="11967" width="8.42578125" customWidth="1"/>
    <col min="11968" max="11968" width="44" customWidth="1"/>
    <col min="11970" max="11970" width="7.42578125" customWidth="1"/>
    <col min="11971" max="11971" width="11.42578125" customWidth="1"/>
    <col min="11972" max="11973" width="12.42578125" customWidth="1"/>
    <col min="11974" max="11974" width="11.42578125" customWidth="1"/>
    <col min="11975" max="11976" width="8.42578125" customWidth="1"/>
    <col min="11977" max="11977" width="17.42578125" customWidth="1"/>
    <col min="11978" max="11978" width="12.42578125" customWidth="1"/>
    <col min="11979" max="11980" width="8.42578125" customWidth="1"/>
    <col min="11981" max="11981" width="44" customWidth="1"/>
    <col min="11984" max="11984" width="7.42578125" customWidth="1"/>
    <col min="11985" max="11985" width="11.42578125" customWidth="1"/>
    <col min="11986" max="11987" width="12.42578125" customWidth="1"/>
    <col min="11988" max="11988" width="11.42578125" customWidth="1"/>
    <col min="11989" max="11990" width="8.42578125" customWidth="1"/>
    <col min="11991" max="11991" width="17.42578125" customWidth="1"/>
    <col min="11992" max="11992" width="12.42578125" customWidth="1"/>
    <col min="11993" max="11994" width="8.42578125" customWidth="1"/>
    <col min="11995" max="11995" width="43.42578125" customWidth="1"/>
    <col min="11997" max="11997" width="7.42578125" customWidth="1"/>
    <col min="11998" max="11998" width="11.42578125" customWidth="1"/>
    <col min="11999" max="12000" width="12.42578125" customWidth="1"/>
    <col min="12001" max="12001" width="11.42578125" customWidth="1"/>
    <col min="12002" max="12002" width="8.42578125" customWidth="1"/>
    <col min="12003" max="12003" width="8.42578125" bestFit="1" customWidth="1"/>
    <col min="12004" max="12004" width="17.42578125" bestFit="1" customWidth="1"/>
    <col min="12005" max="12005" width="12.42578125" bestFit="1" customWidth="1"/>
    <col min="12006" max="12007" width="8.42578125" customWidth="1"/>
    <col min="12008" max="12008" width="44" customWidth="1"/>
    <col min="12194" max="12194" width="22.42578125" bestFit="1" customWidth="1"/>
    <col min="12195" max="12195" width="8.42578125" customWidth="1"/>
    <col min="12196" max="12196" width="29.42578125" customWidth="1"/>
    <col min="12197" max="12197" width="7" customWidth="1"/>
    <col min="12198" max="12198" width="22.42578125" bestFit="1" customWidth="1"/>
    <col min="12199" max="12199" width="62.42578125" customWidth="1"/>
    <col min="12200" max="12200" width="2.42578125" customWidth="1"/>
    <col min="12201" max="12201" width="7" customWidth="1"/>
    <col min="12202" max="12202" width="11.42578125" customWidth="1"/>
    <col min="12203" max="12204" width="12.42578125" customWidth="1"/>
    <col min="12205" max="12207" width="8.42578125" customWidth="1"/>
    <col min="12208" max="12208" width="12.42578125" customWidth="1"/>
    <col min="12209" max="12210" width="8.42578125" customWidth="1"/>
    <col min="12211" max="12211" width="44" customWidth="1"/>
    <col min="12212" max="12212" width="10.42578125" customWidth="1"/>
    <col min="12213" max="12213" width="7.42578125" customWidth="1"/>
    <col min="12214" max="12214" width="11.42578125" customWidth="1"/>
    <col min="12215" max="12216" width="12.42578125" customWidth="1"/>
    <col min="12217" max="12217" width="11.42578125" customWidth="1"/>
    <col min="12218" max="12219" width="8.42578125" customWidth="1"/>
    <col min="12220" max="12220" width="17.42578125" customWidth="1"/>
    <col min="12221" max="12221" width="12.42578125" customWidth="1"/>
    <col min="12222" max="12223" width="8.42578125" customWidth="1"/>
    <col min="12224" max="12224" width="44" customWidth="1"/>
    <col min="12226" max="12226" width="7.42578125" customWidth="1"/>
    <col min="12227" max="12227" width="11.42578125" customWidth="1"/>
    <col min="12228" max="12229" width="12.42578125" customWidth="1"/>
    <col min="12230" max="12230" width="11.42578125" customWidth="1"/>
    <col min="12231" max="12232" width="8.42578125" customWidth="1"/>
    <col min="12233" max="12233" width="17.42578125" customWidth="1"/>
    <col min="12234" max="12234" width="12.42578125" customWidth="1"/>
    <col min="12235" max="12236" width="8.42578125" customWidth="1"/>
    <col min="12237" max="12237" width="44" customWidth="1"/>
    <col min="12240" max="12240" width="7.42578125" customWidth="1"/>
    <col min="12241" max="12241" width="11.42578125" customWidth="1"/>
    <col min="12242" max="12243" width="12.42578125" customWidth="1"/>
    <col min="12244" max="12244" width="11.42578125" customWidth="1"/>
    <col min="12245" max="12246" width="8.42578125" customWidth="1"/>
    <col min="12247" max="12247" width="17.42578125" customWidth="1"/>
    <col min="12248" max="12248" width="12.42578125" customWidth="1"/>
    <col min="12249" max="12250" width="8.42578125" customWidth="1"/>
    <col min="12251" max="12251" width="43.42578125" customWidth="1"/>
    <col min="12253" max="12253" width="7.42578125" customWidth="1"/>
    <col min="12254" max="12254" width="11.42578125" customWidth="1"/>
    <col min="12255" max="12256" width="12.42578125" customWidth="1"/>
    <col min="12257" max="12257" width="11.42578125" customWidth="1"/>
    <col min="12258" max="12258" width="8.42578125" customWidth="1"/>
    <col min="12259" max="12259" width="8.42578125" bestFit="1" customWidth="1"/>
    <col min="12260" max="12260" width="17.42578125" bestFit="1" customWidth="1"/>
    <col min="12261" max="12261" width="12.42578125" bestFit="1" customWidth="1"/>
    <col min="12262" max="12263" width="8.42578125" customWidth="1"/>
    <col min="12264" max="12264" width="44" customWidth="1"/>
    <col min="12450" max="12450" width="22.42578125" bestFit="1" customWidth="1"/>
    <col min="12451" max="12451" width="8.42578125" customWidth="1"/>
    <col min="12452" max="12452" width="29.42578125" customWidth="1"/>
    <col min="12453" max="12453" width="7" customWidth="1"/>
    <col min="12454" max="12454" width="22.42578125" bestFit="1" customWidth="1"/>
    <col min="12455" max="12455" width="62.42578125" customWidth="1"/>
    <col min="12456" max="12456" width="2.42578125" customWidth="1"/>
    <col min="12457" max="12457" width="7" customWidth="1"/>
    <col min="12458" max="12458" width="11.42578125" customWidth="1"/>
    <col min="12459" max="12460" width="12.42578125" customWidth="1"/>
    <col min="12461" max="12463" width="8.42578125" customWidth="1"/>
    <col min="12464" max="12464" width="12.42578125" customWidth="1"/>
    <col min="12465" max="12466" width="8.42578125" customWidth="1"/>
    <col min="12467" max="12467" width="44" customWidth="1"/>
    <col min="12468" max="12468" width="10.42578125" customWidth="1"/>
    <col min="12469" max="12469" width="7.42578125" customWidth="1"/>
    <col min="12470" max="12470" width="11.42578125" customWidth="1"/>
    <col min="12471" max="12472" width="12.42578125" customWidth="1"/>
    <col min="12473" max="12473" width="11.42578125" customWidth="1"/>
    <col min="12474" max="12475" width="8.42578125" customWidth="1"/>
    <col min="12476" max="12476" width="17.42578125" customWidth="1"/>
    <col min="12477" max="12477" width="12.42578125" customWidth="1"/>
    <col min="12478" max="12479" width="8.42578125" customWidth="1"/>
    <col min="12480" max="12480" width="44" customWidth="1"/>
    <col min="12482" max="12482" width="7.42578125" customWidth="1"/>
    <col min="12483" max="12483" width="11.42578125" customWidth="1"/>
    <col min="12484" max="12485" width="12.42578125" customWidth="1"/>
    <col min="12486" max="12486" width="11.42578125" customWidth="1"/>
    <col min="12487" max="12488" width="8.42578125" customWidth="1"/>
    <col min="12489" max="12489" width="17.42578125" customWidth="1"/>
    <col min="12490" max="12490" width="12.42578125" customWidth="1"/>
    <col min="12491" max="12492" width="8.42578125" customWidth="1"/>
    <col min="12493" max="12493" width="44" customWidth="1"/>
    <col min="12496" max="12496" width="7.42578125" customWidth="1"/>
    <col min="12497" max="12497" width="11.42578125" customWidth="1"/>
    <col min="12498" max="12499" width="12.42578125" customWidth="1"/>
    <col min="12500" max="12500" width="11.42578125" customWidth="1"/>
    <col min="12501" max="12502" width="8.42578125" customWidth="1"/>
    <col min="12503" max="12503" width="17.42578125" customWidth="1"/>
    <col min="12504" max="12504" width="12.42578125" customWidth="1"/>
    <col min="12505" max="12506" width="8.42578125" customWidth="1"/>
    <col min="12507" max="12507" width="43.42578125" customWidth="1"/>
    <col min="12509" max="12509" width="7.42578125" customWidth="1"/>
    <col min="12510" max="12510" width="11.42578125" customWidth="1"/>
    <col min="12511" max="12512" width="12.42578125" customWidth="1"/>
    <col min="12513" max="12513" width="11.42578125" customWidth="1"/>
    <col min="12514" max="12514" width="8.42578125" customWidth="1"/>
    <col min="12515" max="12515" width="8.42578125" bestFit="1" customWidth="1"/>
    <col min="12516" max="12516" width="17.42578125" bestFit="1" customWidth="1"/>
    <col min="12517" max="12517" width="12.42578125" bestFit="1" customWidth="1"/>
    <col min="12518" max="12519" width="8.42578125" customWidth="1"/>
    <col min="12520" max="12520" width="44" customWidth="1"/>
    <col min="12706" max="12706" width="22.42578125" bestFit="1" customWidth="1"/>
    <col min="12707" max="12707" width="8.42578125" customWidth="1"/>
    <col min="12708" max="12708" width="29.42578125" customWidth="1"/>
    <col min="12709" max="12709" width="7" customWidth="1"/>
    <col min="12710" max="12710" width="22.42578125" bestFit="1" customWidth="1"/>
    <col min="12711" max="12711" width="62.42578125" customWidth="1"/>
    <col min="12712" max="12712" width="2.42578125" customWidth="1"/>
    <col min="12713" max="12713" width="7" customWidth="1"/>
    <col min="12714" max="12714" width="11.42578125" customWidth="1"/>
    <col min="12715" max="12716" width="12.42578125" customWidth="1"/>
    <col min="12717" max="12719" width="8.42578125" customWidth="1"/>
    <col min="12720" max="12720" width="12.42578125" customWidth="1"/>
    <col min="12721" max="12722" width="8.42578125" customWidth="1"/>
    <col min="12723" max="12723" width="44" customWidth="1"/>
    <col min="12724" max="12724" width="10.42578125" customWidth="1"/>
    <col min="12725" max="12725" width="7.42578125" customWidth="1"/>
    <col min="12726" max="12726" width="11.42578125" customWidth="1"/>
    <col min="12727" max="12728" width="12.42578125" customWidth="1"/>
    <col min="12729" max="12729" width="11.42578125" customWidth="1"/>
    <col min="12730" max="12731" width="8.42578125" customWidth="1"/>
    <col min="12732" max="12732" width="17.42578125" customWidth="1"/>
    <col min="12733" max="12733" width="12.42578125" customWidth="1"/>
    <col min="12734" max="12735" width="8.42578125" customWidth="1"/>
    <col min="12736" max="12736" width="44" customWidth="1"/>
    <col min="12738" max="12738" width="7.42578125" customWidth="1"/>
    <col min="12739" max="12739" width="11.42578125" customWidth="1"/>
    <col min="12740" max="12741" width="12.42578125" customWidth="1"/>
    <col min="12742" max="12742" width="11.42578125" customWidth="1"/>
    <col min="12743" max="12744" width="8.42578125" customWidth="1"/>
    <col min="12745" max="12745" width="17.42578125" customWidth="1"/>
    <col min="12746" max="12746" width="12.42578125" customWidth="1"/>
    <col min="12747" max="12748" width="8.42578125" customWidth="1"/>
    <col min="12749" max="12749" width="44" customWidth="1"/>
    <col min="12752" max="12752" width="7.42578125" customWidth="1"/>
    <col min="12753" max="12753" width="11.42578125" customWidth="1"/>
    <col min="12754" max="12755" width="12.42578125" customWidth="1"/>
    <col min="12756" max="12756" width="11.42578125" customWidth="1"/>
    <col min="12757" max="12758" width="8.42578125" customWidth="1"/>
    <col min="12759" max="12759" width="17.42578125" customWidth="1"/>
    <col min="12760" max="12760" width="12.42578125" customWidth="1"/>
    <col min="12761" max="12762" width="8.42578125" customWidth="1"/>
    <col min="12763" max="12763" width="43.42578125" customWidth="1"/>
    <col min="12765" max="12765" width="7.42578125" customWidth="1"/>
    <col min="12766" max="12766" width="11.42578125" customWidth="1"/>
    <col min="12767" max="12768" width="12.42578125" customWidth="1"/>
    <col min="12769" max="12769" width="11.42578125" customWidth="1"/>
    <col min="12770" max="12770" width="8.42578125" customWidth="1"/>
    <col min="12771" max="12771" width="8.42578125" bestFit="1" customWidth="1"/>
    <col min="12772" max="12772" width="17.42578125" bestFit="1" customWidth="1"/>
    <col min="12773" max="12773" width="12.42578125" bestFit="1" customWidth="1"/>
    <col min="12774" max="12775" width="8.42578125" customWidth="1"/>
    <col min="12776" max="12776" width="44" customWidth="1"/>
    <col min="12962" max="12962" width="22.42578125" bestFit="1" customWidth="1"/>
    <col min="12963" max="12963" width="8.42578125" customWidth="1"/>
    <col min="12964" max="12964" width="29.42578125" customWidth="1"/>
    <col min="12965" max="12965" width="7" customWidth="1"/>
    <col min="12966" max="12966" width="22.42578125" bestFit="1" customWidth="1"/>
    <col min="12967" max="12967" width="62.42578125" customWidth="1"/>
    <col min="12968" max="12968" width="2.42578125" customWidth="1"/>
    <col min="12969" max="12969" width="7" customWidth="1"/>
    <col min="12970" max="12970" width="11.42578125" customWidth="1"/>
    <col min="12971" max="12972" width="12.42578125" customWidth="1"/>
    <col min="12973" max="12975" width="8.42578125" customWidth="1"/>
    <col min="12976" max="12976" width="12.42578125" customWidth="1"/>
    <col min="12977" max="12978" width="8.42578125" customWidth="1"/>
    <col min="12979" max="12979" width="44" customWidth="1"/>
    <col min="12980" max="12980" width="10.42578125" customWidth="1"/>
    <col min="12981" max="12981" width="7.42578125" customWidth="1"/>
    <col min="12982" max="12982" width="11.42578125" customWidth="1"/>
    <col min="12983" max="12984" width="12.42578125" customWidth="1"/>
    <col min="12985" max="12985" width="11.42578125" customWidth="1"/>
    <col min="12986" max="12987" width="8.42578125" customWidth="1"/>
    <col min="12988" max="12988" width="17.42578125" customWidth="1"/>
    <col min="12989" max="12989" width="12.42578125" customWidth="1"/>
    <col min="12990" max="12991" width="8.42578125" customWidth="1"/>
    <col min="12992" max="12992" width="44" customWidth="1"/>
    <col min="12994" max="12994" width="7.42578125" customWidth="1"/>
    <col min="12995" max="12995" width="11.42578125" customWidth="1"/>
    <col min="12996" max="12997" width="12.42578125" customWidth="1"/>
    <col min="12998" max="12998" width="11.42578125" customWidth="1"/>
    <col min="12999" max="13000" width="8.42578125" customWidth="1"/>
    <col min="13001" max="13001" width="17.42578125" customWidth="1"/>
    <col min="13002" max="13002" width="12.42578125" customWidth="1"/>
    <col min="13003" max="13004" width="8.42578125" customWidth="1"/>
    <col min="13005" max="13005" width="44" customWidth="1"/>
    <col min="13008" max="13008" width="7.42578125" customWidth="1"/>
    <col min="13009" max="13009" width="11.42578125" customWidth="1"/>
    <col min="13010" max="13011" width="12.42578125" customWidth="1"/>
    <col min="13012" max="13012" width="11.42578125" customWidth="1"/>
    <col min="13013" max="13014" width="8.42578125" customWidth="1"/>
    <col min="13015" max="13015" width="17.42578125" customWidth="1"/>
    <col min="13016" max="13016" width="12.42578125" customWidth="1"/>
    <col min="13017" max="13018" width="8.42578125" customWidth="1"/>
    <col min="13019" max="13019" width="43.42578125" customWidth="1"/>
    <col min="13021" max="13021" width="7.42578125" customWidth="1"/>
    <col min="13022" max="13022" width="11.42578125" customWidth="1"/>
    <col min="13023" max="13024" width="12.42578125" customWidth="1"/>
    <col min="13025" max="13025" width="11.42578125" customWidth="1"/>
    <col min="13026" max="13026" width="8.42578125" customWidth="1"/>
    <col min="13027" max="13027" width="8.42578125" bestFit="1" customWidth="1"/>
    <col min="13028" max="13028" width="17.42578125" bestFit="1" customWidth="1"/>
    <col min="13029" max="13029" width="12.42578125" bestFit="1" customWidth="1"/>
    <col min="13030" max="13031" width="8.42578125" customWidth="1"/>
    <col min="13032" max="13032" width="44" customWidth="1"/>
    <col min="13218" max="13218" width="22.42578125" bestFit="1" customWidth="1"/>
    <col min="13219" max="13219" width="8.42578125" customWidth="1"/>
    <col min="13220" max="13220" width="29.42578125" customWidth="1"/>
    <col min="13221" max="13221" width="7" customWidth="1"/>
    <col min="13222" max="13222" width="22.42578125" bestFit="1" customWidth="1"/>
    <col min="13223" max="13223" width="62.42578125" customWidth="1"/>
    <col min="13224" max="13224" width="2.42578125" customWidth="1"/>
    <col min="13225" max="13225" width="7" customWidth="1"/>
    <col min="13226" max="13226" width="11.42578125" customWidth="1"/>
    <col min="13227" max="13228" width="12.42578125" customWidth="1"/>
    <col min="13229" max="13231" width="8.42578125" customWidth="1"/>
    <col min="13232" max="13232" width="12.42578125" customWidth="1"/>
    <col min="13233" max="13234" width="8.42578125" customWidth="1"/>
    <col min="13235" max="13235" width="44" customWidth="1"/>
    <col min="13236" max="13236" width="10.42578125" customWidth="1"/>
    <col min="13237" max="13237" width="7.42578125" customWidth="1"/>
    <col min="13238" max="13238" width="11.42578125" customWidth="1"/>
    <col min="13239" max="13240" width="12.42578125" customWidth="1"/>
    <col min="13241" max="13241" width="11.42578125" customWidth="1"/>
    <col min="13242" max="13243" width="8.42578125" customWidth="1"/>
    <col min="13244" max="13244" width="17.42578125" customWidth="1"/>
    <col min="13245" max="13245" width="12.42578125" customWidth="1"/>
    <col min="13246" max="13247" width="8.42578125" customWidth="1"/>
    <col min="13248" max="13248" width="44" customWidth="1"/>
    <col min="13250" max="13250" width="7.42578125" customWidth="1"/>
    <col min="13251" max="13251" width="11.42578125" customWidth="1"/>
    <col min="13252" max="13253" width="12.42578125" customWidth="1"/>
    <col min="13254" max="13254" width="11.42578125" customWidth="1"/>
    <col min="13255" max="13256" width="8.42578125" customWidth="1"/>
    <col min="13257" max="13257" width="17.42578125" customWidth="1"/>
    <col min="13258" max="13258" width="12.42578125" customWidth="1"/>
    <col min="13259" max="13260" width="8.42578125" customWidth="1"/>
    <col min="13261" max="13261" width="44" customWidth="1"/>
    <col min="13264" max="13264" width="7.42578125" customWidth="1"/>
    <col min="13265" max="13265" width="11.42578125" customWidth="1"/>
    <col min="13266" max="13267" width="12.42578125" customWidth="1"/>
    <col min="13268" max="13268" width="11.42578125" customWidth="1"/>
    <col min="13269" max="13270" width="8.42578125" customWidth="1"/>
    <col min="13271" max="13271" width="17.42578125" customWidth="1"/>
    <col min="13272" max="13272" width="12.42578125" customWidth="1"/>
    <col min="13273" max="13274" width="8.42578125" customWidth="1"/>
    <col min="13275" max="13275" width="43.42578125" customWidth="1"/>
    <col min="13277" max="13277" width="7.42578125" customWidth="1"/>
    <col min="13278" max="13278" width="11.42578125" customWidth="1"/>
    <col min="13279" max="13280" width="12.42578125" customWidth="1"/>
    <col min="13281" max="13281" width="11.42578125" customWidth="1"/>
    <col min="13282" max="13282" width="8.42578125" customWidth="1"/>
    <col min="13283" max="13283" width="8.42578125" bestFit="1" customWidth="1"/>
    <col min="13284" max="13284" width="17.42578125" bestFit="1" customWidth="1"/>
    <col min="13285" max="13285" width="12.42578125" bestFit="1" customWidth="1"/>
    <col min="13286" max="13287" width="8.42578125" customWidth="1"/>
    <col min="13288" max="13288" width="44" customWidth="1"/>
    <col min="13474" max="13474" width="22.42578125" bestFit="1" customWidth="1"/>
    <col min="13475" max="13475" width="8.42578125" customWidth="1"/>
    <col min="13476" max="13476" width="29.42578125" customWidth="1"/>
    <col min="13477" max="13477" width="7" customWidth="1"/>
    <col min="13478" max="13478" width="22.42578125" bestFit="1" customWidth="1"/>
    <col min="13479" max="13479" width="62.42578125" customWidth="1"/>
    <col min="13480" max="13480" width="2.42578125" customWidth="1"/>
    <col min="13481" max="13481" width="7" customWidth="1"/>
    <col min="13482" max="13482" width="11.42578125" customWidth="1"/>
    <col min="13483" max="13484" width="12.42578125" customWidth="1"/>
    <col min="13485" max="13487" width="8.42578125" customWidth="1"/>
    <col min="13488" max="13488" width="12.42578125" customWidth="1"/>
    <col min="13489" max="13490" width="8.42578125" customWidth="1"/>
    <col min="13491" max="13491" width="44" customWidth="1"/>
    <col min="13492" max="13492" width="10.42578125" customWidth="1"/>
    <col min="13493" max="13493" width="7.42578125" customWidth="1"/>
    <col min="13494" max="13494" width="11.42578125" customWidth="1"/>
    <col min="13495" max="13496" width="12.42578125" customWidth="1"/>
    <col min="13497" max="13497" width="11.42578125" customWidth="1"/>
    <col min="13498" max="13499" width="8.42578125" customWidth="1"/>
    <col min="13500" max="13500" width="17.42578125" customWidth="1"/>
    <col min="13501" max="13501" width="12.42578125" customWidth="1"/>
    <col min="13502" max="13503" width="8.42578125" customWidth="1"/>
    <col min="13504" max="13504" width="44" customWidth="1"/>
    <col min="13506" max="13506" width="7.42578125" customWidth="1"/>
    <col min="13507" max="13507" width="11.42578125" customWidth="1"/>
    <col min="13508" max="13509" width="12.42578125" customWidth="1"/>
    <col min="13510" max="13510" width="11.42578125" customWidth="1"/>
    <col min="13511" max="13512" width="8.42578125" customWidth="1"/>
    <col min="13513" max="13513" width="17.42578125" customWidth="1"/>
    <col min="13514" max="13514" width="12.42578125" customWidth="1"/>
    <col min="13515" max="13516" width="8.42578125" customWidth="1"/>
    <col min="13517" max="13517" width="44" customWidth="1"/>
    <col min="13520" max="13520" width="7.42578125" customWidth="1"/>
    <col min="13521" max="13521" width="11.42578125" customWidth="1"/>
    <col min="13522" max="13523" width="12.42578125" customWidth="1"/>
    <col min="13524" max="13524" width="11.42578125" customWidth="1"/>
    <col min="13525" max="13526" width="8.42578125" customWidth="1"/>
    <col min="13527" max="13527" width="17.42578125" customWidth="1"/>
    <col min="13528" max="13528" width="12.42578125" customWidth="1"/>
    <col min="13529" max="13530" width="8.42578125" customWidth="1"/>
    <col min="13531" max="13531" width="43.42578125" customWidth="1"/>
    <col min="13533" max="13533" width="7.42578125" customWidth="1"/>
    <col min="13534" max="13534" width="11.42578125" customWidth="1"/>
    <col min="13535" max="13536" width="12.42578125" customWidth="1"/>
    <col min="13537" max="13537" width="11.42578125" customWidth="1"/>
    <col min="13538" max="13538" width="8.42578125" customWidth="1"/>
    <col min="13539" max="13539" width="8.42578125" bestFit="1" customWidth="1"/>
    <col min="13540" max="13540" width="17.42578125" bestFit="1" customWidth="1"/>
    <col min="13541" max="13541" width="12.42578125" bestFit="1" customWidth="1"/>
    <col min="13542" max="13543" width="8.42578125" customWidth="1"/>
    <col min="13544" max="13544" width="44" customWidth="1"/>
    <col min="13730" max="13730" width="22.42578125" bestFit="1" customWidth="1"/>
    <col min="13731" max="13731" width="8.42578125" customWidth="1"/>
    <col min="13732" max="13732" width="29.42578125" customWidth="1"/>
    <col min="13733" max="13733" width="7" customWidth="1"/>
    <col min="13734" max="13734" width="22.42578125" bestFit="1" customWidth="1"/>
    <col min="13735" max="13735" width="62.42578125" customWidth="1"/>
    <col min="13736" max="13736" width="2.42578125" customWidth="1"/>
    <col min="13737" max="13737" width="7" customWidth="1"/>
    <col min="13738" max="13738" width="11.42578125" customWidth="1"/>
    <col min="13739" max="13740" width="12.42578125" customWidth="1"/>
    <col min="13741" max="13743" width="8.42578125" customWidth="1"/>
    <col min="13744" max="13744" width="12.42578125" customWidth="1"/>
    <col min="13745" max="13746" width="8.42578125" customWidth="1"/>
    <col min="13747" max="13747" width="44" customWidth="1"/>
    <col min="13748" max="13748" width="10.42578125" customWidth="1"/>
    <col min="13749" max="13749" width="7.42578125" customWidth="1"/>
    <col min="13750" max="13750" width="11.42578125" customWidth="1"/>
    <col min="13751" max="13752" width="12.42578125" customWidth="1"/>
    <col min="13753" max="13753" width="11.42578125" customWidth="1"/>
    <col min="13754" max="13755" width="8.42578125" customWidth="1"/>
    <col min="13756" max="13756" width="17.42578125" customWidth="1"/>
    <col min="13757" max="13757" width="12.42578125" customWidth="1"/>
    <col min="13758" max="13759" width="8.42578125" customWidth="1"/>
    <col min="13760" max="13760" width="44" customWidth="1"/>
    <col min="13762" max="13762" width="7.42578125" customWidth="1"/>
    <col min="13763" max="13763" width="11.42578125" customWidth="1"/>
    <col min="13764" max="13765" width="12.42578125" customWidth="1"/>
    <col min="13766" max="13766" width="11.42578125" customWidth="1"/>
    <col min="13767" max="13768" width="8.42578125" customWidth="1"/>
    <col min="13769" max="13769" width="17.42578125" customWidth="1"/>
    <col min="13770" max="13770" width="12.42578125" customWidth="1"/>
    <col min="13771" max="13772" width="8.42578125" customWidth="1"/>
    <col min="13773" max="13773" width="44" customWidth="1"/>
    <col min="13776" max="13776" width="7.42578125" customWidth="1"/>
    <col min="13777" max="13777" width="11.42578125" customWidth="1"/>
    <col min="13778" max="13779" width="12.42578125" customWidth="1"/>
    <col min="13780" max="13780" width="11.42578125" customWidth="1"/>
    <col min="13781" max="13782" width="8.42578125" customWidth="1"/>
    <col min="13783" max="13783" width="17.42578125" customWidth="1"/>
    <col min="13784" max="13784" width="12.42578125" customWidth="1"/>
    <col min="13785" max="13786" width="8.42578125" customWidth="1"/>
    <col min="13787" max="13787" width="43.42578125" customWidth="1"/>
    <col min="13789" max="13789" width="7.42578125" customWidth="1"/>
    <col min="13790" max="13790" width="11.42578125" customWidth="1"/>
    <col min="13791" max="13792" width="12.42578125" customWidth="1"/>
    <col min="13793" max="13793" width="11.42578125" customWidth="1"/>
    <col min="13794" max="13794" width="8.42578125" customWidth="1"/>
    <col min="13795" max="13795" width="8.42578125" bestFit="1" customWidth="1"/>
    <col min="13796" max="13796" width="17.42578125" bestFit="1" customWidth="1"/>
    <col min="13797" max="13797" width="12.42578125" bestFit="1" customWidth="1"/>
    <col min="13798" max="13799" width="8.42578125" customWidth="1"/>
    <col min="13800" max="13800" width="44" customWidth="1"/>
    <col min="13986" max="13986" width="22.42578125" bestFit="1" customWidth="1"/>
    <col min="13987" max="13987" width="8.42578125" customWidth="1"/>
    <col min="13988" max="13988" width="29.42578125" customWidth="1"/>
    <col min="13989" max="13989" width="7" customWidth="1"/>
    <col min="13990" max="13990" width="22.42578125" bestFit="1" customWidth="1"/>
    <col min="13991" max="13991" width="62.42578125" customWidth="1"/>
    <col min="13992" max="13992" width="2.42578125" customWidth="1"/>
    <col min="13993" max="13993" width="7" customWidth="1"/>
    <col min="13994" max="13994" width="11.42578125" customWidth="1"/>
    <col min="13995" max="13996" width="12.42578125" customWidth="1"/>
    <col min="13997" max="13999" width="8.42578125" customWidth="1"/>
    <col min="14000" max="14000" width="12.42578125" customWidth="1"/>
    <col min="14001" max="14002" width="8.42578125" customWidth="1"/>
    <col min="14003" max="14003" width="44" customWidth="1"/>
    <col min="14004" max="14004" width="10.42578125" customWidth="1"/>
    <col min="14005" max="14005" width="7.42578125" customWidth="1"/>
    <col min="14006" max="14006" width="11.42578125" customWidth="1"/>
    <col min="14007" max="14008" width="12.42578125" customWidth="1"/>
    <col min="14009" max="14009" width="11.42578125" customWidth="1"/>
    <col min="14010" max="14011" width="8.42578125" customWidth="1"/>
    <col min="14012" max="14012" width="17.42578125" customWidth="1"/>
    <col min="14013" max="14013" width="12.42578125" customWidth="1"/>
    <col min="14014" max="14015" width="8.42578125" customWidth="1"/>
    <col min="14016" max="14016" width="44" customWidth="1"/>
    <col min="14018" max="14018" width="7.42578125" customWidth="1"/>
    <col min="14019" max="14019" width="11.42578125" customWidth="1"/>
    <col min="14020" max="14021" width="12.42578125" customWidth="1"/>
    <col min="14022" max="14022" width="11.42578125" customWidth="1"/>
    <col min="14023" max="14024" width="8.42578125" customWidth="1"/>
    <col min="14025" max="14025" width="17.42578125" customWidth="1"/>
    <col min="14026" max="14026" width="12.42578125" customWidth="1"/>
    <col min="14027" max="14028" width="8.42578125" customWidth="1"/>
    <col min="14029" max="14029" width="44" customWidth="1"/>
    <col min="14032" max="14032" width="7.42578125" customWidth="1"/>
    <col min="14033" max="14033" width="11.42578125" customWidth="1"/>
    <col min="14034" max="14035" width="12.42578125" customWidth="1"/>
    <col min="14036" max="14036" width="11.42578125" customWidth="1"/>
    <col min="14037" max="14038" width="8.42578125" customWidth="1"/>
    <col min="14039" max="14039" width="17.42578125" customWidth="1"/>
    <col min="14040" max="14040" width="12.42578125" customWidth="1"/>
    <col min="14041" max="14042" width="8.42578125" customWidth="1"/>
    <col min="14043" max="14043" width="43.42578125" customWidth="1"/>
    <col min="14045" max="14045" width="7.42578125" customWidth="1"/>
    <col min="14046" max="14046" width="11.42578125" customWidth="1"/>
    <col min="14047" max="14048" width="12.42578125" customWidth="1"/>
    <col min="14049" max="14049" width="11.42578125" customWidth="1"/>
    <col min="14050" max="14050" width="8.42578125" customWidth="1"/>
    <col min="14051" max="14051" width="8.42578125" bestFit="1" customWidth="1"/>
    <col min="14052" max="14052" width="17.42578125" bestFit="1" customWidth="1"/>
    <col min="14053" max="14053" width="12.42578125" bestFit="1" customWidth="1"/>
    <col min="14054" max="14055" width="8.42578125" customWidth="1"/>
    <col min="14056" max="14056" width="44" customWidth="1"/>
    <col min="14242" max="14242" width="22.42578125" bestFit="1" customWidth="1"/>
    <col min="14243" max="14243" width="8.42578125" customWidth="1"/>
    <col min="14244" max="14244" width="29.42578125" customWidth="1"/>
    <col min="14245" max="14245" width="7" customWidth="1"/>
    <col min="14246" max="14246" width="22.42578125" bestFit="1" customWidth="1"/>
    <col min="14247" max="14247" width="62.42578125" customWidth="1"/>
    <col min="14248" max="14248" width="2.42578125" customWidth="1"/>
    <col min="14249" max="14249" width="7" customWidth="1"/>
    <col min="14250" max="14250" width="11.42578125" customWidth="1"/>
    <col min="14251" max="14252" width="12.42578125" customWidth="1"/>
    <col min="14253" max="14255" width="8.42578125" customWidth="1"/>
    <col min="14256" max="14256" width="12.42578125" customWidth="1"/>
    <col min="14257" max="14258" width="8.42578125" customWidth="1"/>
    <col min="14259" max="14259" width="44" customWidth="1"/>
    <col min="14260" max="14260" width="10.42578125" customWidth="1"/>
    <col min="14261" max="14261" width="7.42578125" customWidth="1"/>
    <col min="14262" max="14262" width="11.42578125" customWidth="1"/>
    <col min="14263" max="14264" width="12.42578125" customWidth="1"/>
    <col min="14265" max="14265" width="11.42578125" customWidth="1"/>
    <col min="14266" max="14267" width="8.42578125" customWidth="1"/>
    <col min="14268" max="14268" width="17.42578125" customWidth="1"/>
    <col min="14269" max="14269" width="12.42578125" customWidth="1"/>
    <col min="14270" max="14271" width="8.42578125" customWidth="1"/>
    <col min="14272" max="14272" width="44" customWidth="1"/>
    <col min="14274" max="14274" width="7.42578125" customWidth="1"/>
    <col min="14275" max="14275" width="11.42578125" customWidth="1"/>
    <col min="14276" max="14277" width="12.42578125" customWidth="1"/>
    <col min="14278" max="14278" width="11.42578125" customWidth="1"/>
    <col min="14279" max="14280" width="8.42578125" customWidth="1"/>
    <col min="14281" max="14281" width="17.42578125" customWidth="1"/>
    <col min="14282" max="14282" width="12.42578125" customWidth="1"/>
    <col min="14283" max="14284" width="8.42578125" customWidth="1"/>
    <col min="14285" max="14285" width="44" customWidth="1"/>
    <col min="14288" max="14288" width="7.42578125" customWidth="1"/>
    <col min="14289" max="14289" width="11.42578125" customWidth="1"/>
    <col min="14290" max="14291" width="12.42578125" customWidth="1"/>
    <col min="14292" max="14292" width="11.42578125" customWidth="1"/>
    <col min="14293" max="14294" width="8.42578125" customWidth="1"/>
    <col min="14295" max="14295" width="17.42578125" customWidth="1"/>
    <col min="14296" max="14296" width="12.42578125" customWidth="1"/>
    <col min="14297" max="14298" width="8.42578125" customWidth="1"/>
    <col min="14299" max="14299" width="43.42578125" customWidth="1"/>
    <col min="14301" max="14301" width="7.42578125" customWidth="1"/>
    <col min="14302" max="14302" width="11.42578125" customWidth="1"/>
    <col min="14303" max="14304" width="12.42578125" customWidth="1"/>
    <col min="14305" max="14305" width="11.42578125" customWidth="1"/>
    <col min="14306" max="14306" width="8.42578125" customWidth="1"/>
    <col min="14307" max="14307" width="8.42578125" bestFit="1" customWidth="1"/>
    <col min="14308" max="14308" width="17.42578125" bestFit="1" customWidth="1"/>
    <col min="14309" max="14309" width="12.42578125" bestFit="1" customWidth="1"/>
    <col min="14310" max="14311" width="8.42578125" customWidth="1"/>
    <col min="14312" max="14312" width="44" customWidth="1"/>
    <col min="14498" max="14498" width="22.42578125" bestFit="1" customWidth="1"/>
    <col min="14499" max="14499" width="8.42578125" customWidth="1"/>
    <col min="14500" max="14500" width="29.42578125" customWidth="1"/>
    <col min="14501" max="14501" width="7" customWidth="1"/>
    <col min="14502" max="14502" width="22.42578125" bestFit="1" customWidth="1"/>
    <col min="14503" max="14503" width="62.42578125" customWidth="1"/>
    <col min="14504" max="14504" width="2.42578125" customWidth="1"/>
    <col min="14505" max="14505" width="7" customWidth="1"/>
    <col min="14506" max="14506" width="11.42578125" customWidth="1"/>
    <col min="14507" max="14508" width="12.42578125" customWidth="1"/>
    <col min="14509" max="14511" width="8.42578125" customWidth="1"/>
    <col min="14512" max="14512" width="12.42578125" customWidth="1"/>
    <col min="14513" max="14514" width="8.42578125" customWidth="1"/>
    <col min="14515" max="14515" width="44" customWidth="1"/>
    <col min="14516" max="14516" width="10.42578125" customWidth="1"/>
    <col min="14517" max="14517" width="7.42578125" customWidth="1"/>
    <col min="14518" max="14518" width="11.42578125" customWidth="1"/>
    <col min="14519" max="14520" width="12.42578125" customWidth="1"/>
    <col min="14521" max="14521" width="11.42578125" customWidth="1"/>
    <col min="14522" max="14523" width="8.42578125" customWidth="1"/>
    <col min="14524" max="14524" width="17.42578125" customWidth="1"/>
    <col min="14525" max="14525" width="12.42578125" customWidth="1"/>
    <col min="14526" max="14527" width="8.42578125" customWidth="1"/>
    <col min="14528" max="14528" width="44" customWidth="1"/>
    <col min="14530" max="14530" width="7.42578125" customWidth="1"/>
    <col min="14531" max="14531" width="11.42578125" customWidth="1"/>
    <col min="14532" max="14533" width="12.42578125" customWidth="1"/>
    <col min="14534" max="14534" width="11.42578125" customWidth="1"/>
    <col min="14535" max="14536" width="8.42578125" customWidth="1"/>
    <col min="14537" max="14537" width="17.42578125" customWidth="1"/>
    <col min="14538" max="14538" width="12.42578125" customWidth="1"/>
    <col min="14539" max="14540" width="8.42578125" customWidth="1"/>
    <col min="14541" max="14541" width="44" customWidth="1"/>
    <col min="14544" max="14544" width="7.42578125" customWidth="1"/>
    <col min="14545" max="14545" width="11.42578125" customWidth="1"/>
    <col min="14546" max="14547" width="12.42578125" customWidth="1"/>
    <col min="14548" max="14548" width="11.42578125" customWidth="1"/>
    <col min="14549" max="14550" width="8.42578125" customWidth="1"/>
    <col min="14551" max="14551" width="17.42578125" customWidth="1"/>
    <col min="14552" max="14552" width="12.42578125" customWidth="1"/>
    <col min="14553" max="14554" width="8.42578125" customWidth="1"/>
    <col min="14555" max="14555" width="43.42578125" customWidth="1"/>
    <col min="14557" max="14557" width="7.42578125" customWidth="1"/>
    <col min="14558" max="14558" width="11.42578125" customWidth="1"/>
    <col min="14559" max="14560" width="12.42578125" customWidth="1"/>
    <col min="14561" max="14561" width="11.42578125" customWidth="1"/>
    <col min="14562" max="14562" width="8.42578125" customWidth="1"/>
    <col min="14563" max="14563" width="8.42578125" bestFit="1" customWidth="1"/>
    <col min="14564" max="14564" width="17.42578125" bestFit="1" customWidth="1"/>
    <col min="14565" max="14565" width="12.42578125" bestFit="1" customWidth="1"/>
    <col min="14566" max="14567" width="8.42578125" customWidth="1"/>
    <col min="14568" max="14568" width="44" customWidth="1"/>
    <col min="14754" max="14754" width="22.42578125" bestFit="1" customWidth="1"/>
    <col min="14755" max="14755" width="8.42578125" customWidth="1"/>
    <col min="14756" max="14756" width="29.42578125" customWidth="1"/>
    <col min="14757" max="14757" width="7" customWidth="1"/>
    <col min="14758" max="14758" width="22.42578125" bestFit="1" customWidth="1"/>
    <col min="14759" max="14759" width="62.42578125" customWidth="1"/>
    <col min="14760" max="14760" width="2.42578125" customWidth="1"/>
    <col min="14761" max="14761" width="7" customWidth="1"/>
    <col min="14762" max="14762" width="11.42578125" customWidth="1"/>
    <col min="14763" max="14764" width="12.42578125" customWidth="1"/>
    <col min="14765" max="14767" width="8.42578125" customWidth="1"/>
    <col min="14768" max="14768" width="12.42578125" customWidth="1"/>
    <col min="14769" max="14770" width="8.42578125" customWidth="1"/>
    <col min="14771" max="14771" width="44" customWidth="1"/>
    <col min="14772" max="14772" width="10.42578125" customWidth="1"/>
    <col min="14773" max="14773" width="7.42578125" customWidth="1"/>
    <col min="14774" max="14774" width="11.42578125" customWidth="1"/>
    <col min="14775" max="14776" width="12.42578125" customWidth="1"/>
    <col min="14777" max="14777" width="11.42578125" customWidth="1"/>
    <col min="14778" max="14779" width="8.42578125" customWidth="1"/>
    <col min="14780" max="14780" width="17.42578125" customWidth="1"/>
    <col min="14781" max="14781" width="12.42578125" customWidth="1"/>
    <col min="14782" max="14783" width="8.42578125" customWidth="1"/>
    <col min="14784" max="14784" width="44" customWidth="1"/>
    <col min="14786" max="14786" width="7.42578125" customWidth="1"/>
    <col min="14787" max="14787" width="11.42578125" customWidth="1"/>
    <col min="14788" max="14789" width="12.42578125" customWidth="1"/>
    <col min="14790" max="14790" width="11.42578125" customWidth="1"/>
    <col min="14791" max="14792" width="8.42578125" customWidth="1"/>
    <col min="14793" max="14793" width="17.42578125" customWidth="1"/>
    <col min="14794" max="14794" width="12.42578125" customWidth="1"/>
    <col min="14795" max="14796" width="8.42578125" customWidth="1"/>
    <col min="14797" max="14797" width="44" customWidth="1"/>
    <col min="14800" max="14800" width="7.42578125" customWidth="1"/>
    <col min="14801" max="14801" width="11.42578125" customWidth="1"/>
    <col min="14802" max="14803" width="12.42578125" customWidth="1"/>
    <col min="14804" max="14804" width="11.42578125" customWidth="1"/>
    <col min="14805" max="14806" width="8.42578125" customWidth="1"/>
    <col min="14807" max="14807" width="17.42578125" customWidth="1"/>
    <col min="14808" max="14808" width="12.42578125" customWidth="1"/>
    <col min="14809" max="14810" width="8.42578125" customWidth="1"/>
    <col min="14811" max="14811" width="43.42578125" customWidth="1"/>
    <col min="14813" max="14813" width="7.42578125" customWidth="1"/>
    <col min="14814" max="14814" width="11.42578125" customWidth="1"/>
    <col min="14815" max="14816" width="12.42578125" customWidth="1"/>
    <col min="14817" max="14817" width="11.42578125" customWidth="1"/>
    <col min="14818" max="14818" width="8.42578125" customWidth="1"/>
    <col min="14819" max="14819" width="8.42578125" bestFit="1" customWidth="1"/>
    <col min="14820" max="14820" width="17.42578125" bestFit="1" customWidth="1"/>
    <col min="14821" max="14821" width="12.42578125" bestFit="1" customWidth="1"/>
    <col min="14822" max="14823" width="8.42578125" customWidth="1"/>
    <col min="14824" max="14824" width="44" customWidth="1"/>
    <col min="15010" max="15010" width="22.42578125" bestFit="1" customWidth="1"/>
    <col min="15011" max="15011" width="8.42578125" customWidth="1"/>
    <col min="15012" max="15012" width="29.42578125" customWidth="1"/>
    <col min="15013" max="15013" width="7" customWidth="1"/>
    <col min="15014" max="15014" width="22.42578125" bestFit="1" customWidth="1"/>
    <col min="15015" max="15015" width="62.42578125" customWidth="1"/>
    <col min="15016" max="15016" width="2.42578125" customWidth="1"/>
    <col min="15017" max="15017" width="7" customWidth="1"/>
    <col min="15018" max="15018" width="11.42578125" customWidth="1"/>
    <col min="15019" max="15020" width="12.42578125" customWidth="1"/>
    <col min="15021" max="15023" width="8.42578125" customWidth="1"/>
    <col min="15024" max="15024" width="12.42578125" customWidth="1"/>
    <col min="15025" max="15026" width="8.42578125" customWidth="1"/>
    <col min="15027" max="15027" width="44" customWidth="1"/>
    <col min="15028" max="15028" width="10.42578125" customWidth="1"/>
    <col min="15029" max="15029" width="7.42578125" customWidth="1"/>
    <col min="15030" max="15030" width="11.42578125" customWidth="1"/>
    <col min="15031" max="15032" width="12.42578125" customWidth="1"/>
    <col min="15033" max="15033" width="11.42578125" customWidth="1"/>
    <col min="15034" max="15035" width="8.42578125" customWidth="1"/>
    <col min="15036" max="15036" width="17.42578125" customWidth="1"/>
    <col min="15037" max="15037" width="12.42578125" customWidth="1"/>
    <col min="15038" max="15039" width="8.42578125" customWidth="1"/>
    <col min="15040" max="15040" width="44" customWidth="1"/>
    <col min="15042" max="15042" width="7.42578125" customWidth="1"/>
    <col min="15043" max="15043" width="11.42578125" customWidth="1"/>
    <col min="15044" max="15045" width="12.42578125" customWidth="1"/>
    <col min="15046" max="15046" width="11.42578125" customWidth="1"/>
    <col min="15047" max="15048" width="8.42578125" customWidth="1"/>
    <col min="15049" max="15049" width="17.42578125" customWidth="1"/>
    <col min="15050" max="15050" width="12.42578125" customWidth="1"/>
    <col min="15051" max="15052" width="8.42578125" customWidth="1"/>
    <col min="15053" max="15053" width="44" customWidth="1"/>
    <col min="15056" max="15056" width="7.42578125" customWidth="1"/>
    <col min="15057" max="15057" width="11.42578125" customWidth="1"/>
    <col min="15058" max="15059" width="12.42578125" customWidth="1"/>
    <col min="15060" max="15060" width="11.42578125" customWidth="1"/>
    <col min="15061" max="15062" width="8.42578125" customWidth="1"/>
    <col min="15063" max="15063" width="17.42578125" customWidth="1"/>
    <col min="15064" max="15064" width="12.42578125" customWidth="1"/>
    <col min="15065" max="15066" width="8.42578125" customWidth="1"/>
    <col min="15067" max="15067" width="43.42578125" customWidth="1"/>
    <col min="15069" max="15069" width="7.42578125" customWidth="1"/>
    <col min="15070" max="15070" width="11.42578125" customWidth="1"/>
    <col min="15071" max="15072" width="12.42578125" customWidth="1"/>
    <col min="15073" max="15073" width="11.42578125" customWidth="1"/>
    <col min="15074" max="15074" width="8.42578125" customWidth="1"/>
    <col min="15075" max="15075" width="8.42578125" bestFit="1" customWidth="1"/>
    <col min="15076" max="15076" width="17.42578125" bestFit="1" customWidth="1"/>
    <col min="15077" max="15077" width="12.42578125" bestFit="1" customWidth="1"/>
    <col min="15078" max="15079" width="8.42578125" customWidth="1"/>
    <col min="15080" max="15080" width="44" customWidth="1"/>
    <col min="15266" max="15266" width="22.42578125" bestFit="1" customWidth="1"/>
    <col min="15267" max="15267" width="8.42578125" customWidth="1"/>
    <col min="15268" max="15268" width="29.42578125" customWidth="1"/>
    <col min="15269" max="15269" width="7" customWidth="1"/>
    <col min="15270" max="15270" width="22.42578125" bestFit="1" customWidth="1"/>
    <col min="15271" max="15271" width="62.42578125" customWidth="1"/>
    <col min="15272" max="15272" width="2.42578125" customWidth="1"/>
    <col min="15273" max="15273" width="7" customWidth="1"/>
    <col min="15274" max="15274" width="11.42578125" customWidth="1"/>
    <col min="15275" max="15276" width="12.42578125" customWidth="1"/>
    <col min="15277" max="15279" width="8.42578125" customWidth="1"/>
    <col min="15280" max="15280" width="12.42578125" customWidth="1"/>
    <col min="15281" max="15282" width="8.42578125" customWidth="1"/>
    <col min="15283" max="15283" width="44" customWidth="1"/>
    <col min="15284" max="15284" width="10.42578125" customWidth="1"/>
    <col min="15285" max="15285" width="7.42578125" customWidth="1"/>
    <col min="15286" max="15286" width="11.42578125" customWidth="1"/>
    <col min="15287" max="15288" width="12.42578125" customWidth="1"/>
    <col min="15289" max="15289" width="11.42578125" customWidth="1"/>
    <col min="15290" max="15291" width="8.42578125" customWidth="1"/>
    <col min="15292" max="15292" width="17.42578125" customWidth="1"/>
    <col min="15293" max="15293" width="12.42578125" customWidth="1"/>
    <col min="15294" max="15295" width="8.42578125" customWidth="1"/>
    <col min="15296" max="15296" width="44" customWidth="1"/>
    <col min="15298" max="15298" width="7.42578125" customWidth="1"/>
    <col min="15299" max="15299" width="11.42578125" customWidth="1"/>
    <col min="15300" max="15301" width="12.42578125" customWidth="1"/>
    <col min="15302" max="15302" width="11.42578125" customWidth="1"/>
    <col min="15303" max="15304" width="8.42578125" customWidth="1"/>
    <col min="15305" max="15305" width="17.42578125" customWidth="1"/>
    <col min="15306" max="15306" width="12.42578125" customWidth="1"/>
    <col min="15307" max="15308" width="8.42578125" customWidth="1"/>
    <col min="15309" max="15309" width="44" customWidth="1"/>
    <col min="15312" max="15312" width="7.42578125" customWidth="1"/>
    <col min="15313" max="15313" width="11.42578125" customWidth="1"/>
    <col min="15314" max="15315" width="12.42578125" customWidth="1"/>
    <col min="15316" max="15316" width="11.42578125" customWidth="1"/>
    <col min="15317" max="15318" width="8.42578125" customWidth="1"/>
    <col min="15319" max="15319" width="17.42578125" customWidth="1"/>
    <col min="15320" max="15320" width="12.42578125" customWidth="1"/>
    <col min="15321" max="15322" width="8.42578125" customWidth="1"/>
    <col min="15323" max="15323" width="43.42578125" customWidth="1"/>
    <col min="15325" max="15325" width="7.42578125" customWidth="1"/>
    <col min="15326" max="15326" width="11.42578125" customWidth="1"/>
    <col min="15327" max="15328" width="12.42578125" customWidth="1"/>
    <col min="15329" max="15329" width="11.42578125" customWidth="1"/>
    <col min="15330" max="15330" width="8.42578125" customWidth="1"/>
    <col min="15331" max="15331" width="8.42578125" bestFit="1" customWidth="1"/>
    <col min="15332" max="15332" width="17.42578125" bestFit="1" customWidth="1"/>
    <col min="15333" max="15333" width="12.42578125" bestFit="1" customWidth="1"/>
    <col min="15334" max="15335" width="8.42578125" customWidth="1"/>
    <col min="15336" max="15336" width="44" customWidth="1"/>
    <col min="15522" max="15522" width="22.42578125" bestFit="1" customWidth="1"/>
    <col min="15523" max="15523" width="8.42578125" customWidth="1"/>
    <col min="15524" max="15524" width="29.42578125" customWidth="1"/>
    <col min="15525" max="15525" width="7" customWidth="1"/>
    <col min="15526" max="15526" width="22.42578125" bestFit="1" customWidth="1"/>
    <col min="15527" max="15527" width="62.42578125" customWidth="1"/>
    <col min="15528" max="15528" width="2.42578125" customWidth="1"/>
    <col min="15529" max="15529" width="7" customWidth="1"/>
    <col min="15530" max="15530" width="11.42578125" customWidth="1"/>
    <col min="15531" max="15532" width="12.42578125" customWidth="1"/>
    <col min="15533" max="15535" width="8.42578125" customWidth="1"/>
    <col min="15536" max="15536" width="12.42578125" customWidth="1"/>
    <col min="15537" max="15538" width="8.42578125" customWidth="1"/>
    <col min="15539" max="15539" width="44" customWidth="1"/>
    <col min="15540" max="15540" width="10.42578125" customWidth="1"/>
    <col min="15541" max="15541" width="7.42578125" customWidth="1"/>
    <col min="15542" max="15542" width="11.42578125" customWidth="1"/>
    <col min="15543" max="15544" width="12.42578125" customWidth="1"/>
    <col min="15545" max="15545" width="11.42578125" customWidth="1"/>
    <col min="15546" max="15547" width="8.42578125" customWidth="1"/>
    <col min="15548" max="15548" width="17.42578125" customWidth="1"/>
    <col min="15549" max="15549" width="12.42578125" customWidth="1"/>
    <col min="15550" max="15551" width="8.42578125" customWidth="1"/>
    <col min="15552" max="15552" width="44" customWidth="1"/>
    <col min="15554" max="15554" width="7.42578125" customWidth="1"/>
    <col min="15555" max="15555" width="11.42578125" customWidth="1"/>
    <col min="15556" max="15557" width="12.42578125" customWidth="1"/>
    <col min="15558" max="15558" width="11.42578125" customWidth="1"/>
    <col min="15559" max="15560" width="8.42578125" customWidth="1"/>
    <col min="15561" max="15561" width="17.42578125" customWidth="1"/>
    <col min="15562" max="15562" width="12.42578125" customWidth="1"/>
    <col min="15563" max="15564" width="8.42578125" customWidth="1"/>
    <col min="15565" max="15565" width="44" customWidth="1"/>
    <col min="15568" max="15568" width="7.42578125" customWidth="1"/>
    <col min="15569" max="15569" width="11.42578125" customWidth="1"/>
    <col min="15570" max="15571" width="12.42578125" customWidth="1"/>
    <col min="15572" max="15572" width="11.42578125" customWidth="1"/>
    <col min="15573" max="15574" width="8.42578125" customWidth="1"/>
    <col min="15575" max="15575" width="17.42578125" customWidth="1"/>
    <col min="15576" max="15576" width="12.42578125" customWidth="1"/>
    <col min="15577" max="15578" width="8.42578125" customWidth="1"/>
    <col min="15579" max="15579" width="43.42578125" customWidth="1"/>
    <col min="15581" max="15581" width="7.42578125" customWidth="1"/>
    <col min="15582" max="15582" width="11.42578125" customWidth="1"/>
    <col min="15583" max="15584" width="12.42578125" customWidth="1"/>
    <col min="15585" max="15585" width="11.42578125" customWidth="1"/>
    <col min="15586" max="15586" width="8.42578125" customWidth="1"/>
    <col min="15587" max="15587" width="8.42578125" bestFit="1" customWidth="1"/>
    <col min="15588" max="15588" width="17.42578125" bestFit="1" customWidth="1"/>
    <col min="15589" max="15589" width="12.42578125" bestFit="1" customWidth="1"/>
    <col min="15590" max="15591" width="8.42578125" customWidth="1"/>
    <col min="15592" max="15592" width="44" customWidth="1"/>
  </cols>
  <sheetData>
    <row r="1" spans="1:24" ht="14.65" customHeight="1">
      <c r="K1" s="494">
        <v>45931</v>
      </c>
    </row>
    <row r="2" spans="1:24" ht="39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229" t="s">
        <v>5</v>
      </c>
      <c r="G2" s="229" t="s">
        <v>6</v>
      </c>
      <c r="H2" s="3" t="s">
        <v>7</v>
      </c>
      <c r="K2" s="495" t="s">
        <v>17</v>
      </c>
      <c r="L2" s="6" t="s">
        <v>9</v>
      </c>
      <c r="M2" s="6" t="s">
        <v>10</v>
      </c>
      <c r="N2" s="354" t="s">
        <v>18</v>
      </c>
      <c r="O2" s="6" t="s">
        <v>11</v>
      </c>
      <c r="P2" s="7" t="s">
        <v>12</v>
      </c>
      <c r="Q2" s="7" t="s">
        <v>13</v>
      </c>
      <c r="R2" s="7"/>
      <c r="S2" s="7"/>
      <c r="T2" s="7"/>
      <c r="U2" s="391" t="s">
        <v>14</v>
      </c>
      <c r="V2" s="7" t="s">
        <v>15</v>
      </c>
      <c r="W2" s="387" t="s">
        <v>16</v>
      </c>
      <c r="X2" s="512" t="s">
        <v>17</v>
      </c>
    </row>
    <row r="3" spans="1:24">
      <c r="A3" s="15" t="s">
        <v>19</v>
      </c>
      <c r="B3" s="16">
        <v>50</v>
      </c>
      <c r="C3" s="15" t="s">
        <v>20</v>
      </c>
      <c r="D3" s="16">
        <v>1002</v>
      </c>
      <c r="E3" s="17" t="s">
        <v>21</v>
      </c>
      <c r="F3" s="233" t="s">
        <v>22</v>
      </c>
      <c r="G3" s="470" t="s">
        <v>23</v>
      </c>
      <c r="H3" s="15" t="s">
        <v>24</v>
      </c>
      <c r="K3" s="496"/>
      <c r="L3" s="18">
        <v>9.0399999999999991</v>
      </c>
      <c r="M3" s="18">
        <v>9.86</v>
      </c>
      <c r="N3" s="355"/>
      <c r="O3" s="203" t="s">
        <v>25</v>
      </c>
      <c r="P3" s="19">
        <f>M3-L3</f>
        <v>0.82000000000000028</v>
      </c>
      <c r="Q3" s="174">
        <f t="shared" ref="Q3:Q28" si="0">P3/L3</f>
        <v>9.0707964601769955E-2</v>
      </c>
      <c r="R3" s="174"/>
      <c r="S3" s="174"/>
      <c r="T3" s="174"/>
      <c r="U3" s="401" t="s">
        <v>27</v>
      </c>
      <c r="V3" s="416"/>
      <c r="W3" s="417"/>
      <c r="X3" s="513" t="s">
        <v>28</v>
      </c>
    </row>
    <row r="4" spans="1:24">
      <c r="A4" s="15" t="s">
        <v>29</v>
      </c>
      <c r="B4" s="16">
        <v>80</v>
      </c>
      <c r="C4" s="15" t="s">
        <v>30</v>
      </c>
      <c r="D4" s="16">
        <v>1002</v>
      </c>
      <c r="E4" s="17" t="s">
        <v>21</v>
      </c>
      <c r="F4" s="233" t="s">
        <v>22</v>
      </c>
      <c r="G4" s="470" t="s">
        <v>31</v>
      </c>
      <c r="H4" s="15"/>
      <c r="K4" s="497" t="s">
        <v>32</v>
      </c>
      <c r="L4" s="18">
        <v>14.95</v>
      </c>
      <c r="M4" s="283">
        <v>16.350000000000001</v>
      </c>
      <c r="N4" s="355"/>
      <c r="O4" s="203" t="s">
        <v>25</v>
      </c>
      <c r="P4" s="19">
        <f t="shared" ref="P4:P14" si="1">M4-L4+W4-V4</f>
        <v>0.6000000000000022</v>
      </c>
      <c r="Q4" s="174">
        <f t="shared" si="0"/>
        <v>4.0133779264214194E-2</v>
      </c>
      <c r="R4" s="174"/>
      <c r="S4" s="174"/>
      <c r="T4" s="174"/>
      <c r="U4" s="401" t="s">
        <v>26</v>
      </c>
      <c r="V4" s="416">
        <v>0.9</v>
      </c>
      <c r="W4" s="417">
        <v>0.1</v>
      </c>
      <c r="X4" s="513"/>
    </row>
    <row r="5" spans="1:24">
      <c r="A5" s="15" t="s">
        <v>33</v>
      </c>
      <c r="B5" s="16">
        <v>50</v>
      </c>
      <c r="C5" s="15" t="s">
        <v>20</v>
      </c>
      <c r="D5" s="16">
        <v>1002</v>
      </c>
      <c r="E5" s="17" t="s">
        <v>21</v>
      </c>
      <c r="F5" s="233" t="s">
        <v>22</v>
      </c>
      <c r="G5" s="470" t="s">
        <v>34</v>
      </c>
      <c r="H5" s="15"/>
      <c r="K5" s="497" t="s">
        <v>32</v>
      </c>
      <c r="L5" s="18">
        <v>11.41</v>
      </c>
      <c r="M5" s="283">
        <v>13.32</v>
      </c>
      <c r="N5" s="355"/>
      <c r="O5" s="203" t="s">
        <v>25</v>
      </c>
      <c r="P5" s="19">
        <f t="shared" si="1"/>
        <v>1.0100000000000002</v>
      </c>
      <c r="Q5" s="174">
        <f t="shared" si="0"/>
        <v>8.8518843120070134E-2</v>
      </c>
      <c r="R5" s="174"/>
      <c r="S5" s="174"/>
      <c r="T5" s="174"/>
      <c r="U5" s="401" t="s">
        <v>26</v>
      </c>
      <c r="V5" s="416">
        <v>0.9</v>
      </c>
      <c r="W5" s="417"/>
      <c r="X5" s="513"/>
    </row>
    <row r="6" spans="1:24" ht="15.4" customHeight="1">
      <c r="A6" s="20" t="s">
        <v>35</v>
      </c>
      <c r="B6" s="21">
        <v>120</v>
      </c>
      <c r="C6" s="20" t="s">
        <v>36</v>
      </c>
      <c r="D6" s="21" t="s">
        <v>37</v>
      </c>
      <c r="E6" s="22" t="s">
        <v>38</v>
      </c>
      <c r="F6" s="234" t="s">
        <v>39</v>
      </c>
      <c r="G6" s="471" t="s">
        <v>40</v>
      </c>
      <c r="H6" s="20"/>
      <c r="K6" s="498"/>
      <c r="L6" s="23">
        <v>12.8</v>
      </c>
      <c r="M6" s="23">
        <v>13.8</v>
      </c>
      <c r="N6" s="356"/>
      <c r="O6" s="204" t="s">
        <v>41</v>
      </c>
      <c r="P6" s="24">
        <f t="shared" si="1"/>
        <v>1.4</v>
      </c>
      <c r="Q6" s="25">
        <f t="shared" si="0"/>
        <v>0.10937499999999999</v>
      </c>
      <c r="R6" s="25"/>
      <c r="S6" s="25"/>
      <c r="T6" s="25"/>
      <c r="U6" s="402" t="s">
        <v>42</v>
      </c>
      <c r="V6" s="418"/>
      <c r="W6" s="419">
        <v>0.4</v>
      </c>
      <c r="X6" s="513" t="s">
        <v>43</v>
      </c>
    </row>
    <row r="7" spans="1:24" ht="15.4" customHeight="1">
      <c r="A7" s="20" t="s">
        <v>44</v>
      </c>
      <c r="B7" s="21">
        <v>120</v>
      </c>
      <c r="C7" s="20" t="s">
        <v>36</v>
      </c>
      <c r="D7" s="21" t="s">
        <v>37</v>
      </c>
      <c r="E7" s="22" t="s">
        <v>38</v>
      </c>
      <c r="F7" s="234" t="s">
        <v>39</v>
      </c>
      <c r="G7" s="471" t="s">
        <v>45</v>
      </c>
      <c r="H7" s="20"/>
      <c r="K7" s="499"/>
      <c r="L7" s="23">
        <v>13.1</v>
      </c>
      <c r="M7" s="23">
        <f>L7+1.44</f>
        <v>14.54</v>
      </c>
      <c r="N7" s="356"/>
      <c r="O7" s="204" t="s">
        <v>41</v>
      </c>
      <c r="P7" s="24">
        <f t="shared" si="1"/>
        <v>1.8399999999999994</v>
      </c>
      <c r="Q7" s="25">
        <f t="shared" si="0"/>
        <v>0.14045801526717552</v>
      </c>
      <c r="R7" s="25"/>
      <c r="S7" s="25"/>
      <c r="T7" s="25"/>
      <c r="U7" s="402" t="s">
        <v>42</v>
      </c>
      <c r="V7" s="418"/>
      <c r="W7" s="419">
        <v>0.4</v>
      </c>
      <c r="X7" s="513"/>
    </row>
    <row r="8" spans="1:24" ht="15.4" customHeight="1">
      <c r="A8" s="20" t="s">
        <v>46</v>
      </c>
      <c r="B8" s="21" t="str">
        <f t="shared" ref="B8:B15" si="2">LEFT(A8,2)</f>
        <v>50</v>
      </c>
      <c r="C8" s="20" t="s">
        <v>20</v>
      </c>
      <c r="D8" s="21" t="s">
        <v>37</v>
      </c>
      <c r="E8" s="22" t="s">
        <v>38</v>
      </c>
      <c r="F8" s="234" t="s">
        <v>39</v>
      </c>
      <c r="G8" s="471" t="s">
        <v>47</v>
      </c>
      <c r="H8" s="20"/>
      <c r="K8" s="500" t="s">
        <v>48</v>
      </c>
      <c r="L8" s="23">
        <v>15.43</v>
      </c>
      <c r="M8" s="23">
        <v>15.7</v>
      </c>
      <c r="N8" s="356"/>
      <c r="O8" s="204" t="s">
        <v>41</v>
      </c>
      <c r="P8" s="24">
        <f t="shared" si="1"/>
        <v>0.6699999999999996</v>
      </c>
      <c r="Q8" s="25">
        <f t="shared" si="0"/>
        <v>4.3421905379131535E-2</v>
      </c>
      <c r="R8" s="25"/>
      <c r="S8" s="25"/>
      <c r="T8" s="25"/>
      <c r="U8" s="402" t="s">
        <v>42</v>
      </c>
      <c r="V8" s="418"/>
      <c r="W8" s="419">
        <v>0.4</v>
      </c>
      <c r="X8" s="513"/>
    </row>
    <row r="9" spans="1:24">
      <c r="A9" s="20" t="s">
        <v>49</v>
      </c>
      <c r="B9" s="21" t="str">
        <f t="shared" si="2"/>
        <v>80</v>
      </c>
      <c r="C9" s="20" t="s">
        <v>30</v>
      </c>
      <c r="D9" s="21" t="s">
        <v>37</v>
      </c>
      <c r="E9" s="22" t="s">
        <v>38</v>
      </c>
      <c r="F9" s="234" t="s">
        <v>39</v>
      </c>
      <c r="G9" s="471" t="s">
        <v>50</v>
      </c>
      <c r="H9" s="20"/>
      <c r="K9" s="498" t="s">
        <v>51</v>
      </c>
      <c r="L9" s="23">
        <v>15.45</v>
      </c>
      <c r="M9" s="23">
        <v>16.068000000000001</v>
      </c>
      <c r="N9" s="356"/>
      <c r="O9" s="204" t="s">
        <v>41</v>
      </c>
      <c r="P9" s="24">
        <f t="shared" si="1"/>
        <v>0.71800000000000208</v>
      </c>
      <c r="Q9" s="25">
        <f t="shared" si="0"/>
        <v>4.6472491909385252E-2</v>
      </c>
      <c r="R9" s="25"/>
      <c r="S9" s="25"/>
      <c r="T9" s="25"/>
      <c r="U9" s="402" t="s">
        <v>42</v>
      </c>
      <c r="V9" s="418"/>
      <c r="W9" s="419">
        <v>0.1</v>
      </c>
      <c r="X9" s="513"/>
    </row>
    <row r="10" spans="1:24">
      <c r="A10" s="20" t="s">
        <v>52</v>
      </c>
      <c r="B10" s="21" t="str">
        <f t="shared" si="2"/>
        <v>80</v>
      </c>
      <c r="C10" s="20" t="s">
        <v>30</v>
      </c>
      <c r="D10" s="21" t="s">
        <v>37</v>
      </c>
      <c r="E10" s="22" t="s">
        <v>38</v>
      </c>
      <c r="F10" s="234" t="s">
        <v>39</v>
      </c>
      <c r="G10" s="471" t="s">
        <v>53</v>
      </c>
      <c r="H10" s="20"/>
      <c r="K10" s="498" t="s">
        <v>51</v>
      </c>
      <c r="L10" s="23">
        <v>15.25</v>
      </c>
      <c r="M10" s="23">
        <v>15.860000000000001</v>
      </c>
      <c r="N10" s="356"/>
      <c r="O10" s="204" t="s">
        <v>41</v>
      </c>
      <c r="P10" s="24">
        <f t="shared" si="1"/>
        <v>0.71000000000000119</v>
      </c>
      <c r="Q10" s="25">
        <f t="shared" si="0"/>
        <v>4.6557377049180407E-2</v>
      </c>
      <c r="R10" s="25"/>
      <c r="S10" s="25"/>
      <c r="T10" s="25"/>
      <c r="U10" s="402" t="s">
        <v>42</v>
      </c>
      <c r="V10" s="418"/>
      <c r="W10" s="419">
        <v>0.1</v>
      </c>
      <c r="X10" s="513"/>
    </row>
    <row r="11" spans="1:24">
      <c r="A11" s="20" t="s">
        <v>54</v>
      </c>
      <c r="B11" s="21" t="str">
        <f t="shared" si="2"/>
        <v>80</v>
      </c>
      <c r="C11" s="20" t="s">
        <v>30</v>
      </c>
      <c r="D11" s="21" t="s">
        <v>37</v>
      </c>
      <c r="E11" s="22" t="s">
        <v>38</v>
      </c>
      <c r="F11" s="234" t="s">
        <v>39</v>
      </c>
      <c r="G11" s="471" t="s">
        <v>55</v>
      </c>
      <c r="H11" s="20"/>
      <c r="K11" s="498" t="s">
        <v>51</v>
      </c>
      <c r="L11" s="23">
        <v>13.9</v>
      </c>
      <c r="M11" s="23">
        <v>14.456000000000001</v>
      </c>
      <c r="N11" s="356"/>
      <c r="O11" s="204" t="s">
        <v>41</v>
      </c>
      <c r="P11" s="24">
        <f t="shared" si="1"/>
        <v>0.65600000000000092</v>
      </c>
      <c r="Q11" s="25">
        <f t="shared" si="0"/>
        <v>4.7194244604316614E-2</v>
      </c>
      <c r="R11" s="25"/>
      <c r="S11" s="25"/>
      <c r="T11" s="25"/>
      <c r="U11" s="402" t="s">
        <v>42</v>
      </c>
      <c r="V11" s="418"/>
      <c r="W11" s="419">
        <v>0.1</v>
      </c>
      <c r="X11" s="513"/>
    </row>
    <row r="12" spans="1:24">
      <c r="A12" s="20" t="s">
        <v>56</v>
      </c>
      <c r="B12" s="21" t="str">
        <f t="shared" si="2"/>
        <v>80</v>
      </c>
      <c r="C12" s="20" t="s">
        <v>30</v>
      </c>
      <c r="D12" s="21" t="s">
        <v>37</v>
      </c>
      <c r="E12" s="22" t="s">
        <v>38</v>
      </c>
      <c r="F12" s="234" t="s">
        <v>39</v>
      </c>
      <c r="G12" s="471" t="s">
        <v>57</v>
      </c>
      <c r="H12" s="20"/>
      <c r="K12" s="498" t="s">
        <v>51</v>
      </c>
      <c r="L12" s="23">
        <v>14.95</v>
      </c>
      <c r="M12" s="23">
        <v>16.068000000000001</v>
      </c>
      <c r="N12" s="356"/>
      <c r="O12" s="204" t="s">
        <v>41</v>
      </c>
      <c r="P12" s="24">
        <f t="shared" si="1"/>
        <v>1.2180000000000022</v>
      </c>
      <c r="Q12" s="25">
        <f t="shared" si="0"/>
        <v>8.1471571906354665E-2</v>
      </c>
      <c r="R12" s="25"/>
      <c r="S12" s="25"/>
      <c r="T12" s="25"/>
      <c r="U12" s="402" t="s">
        <v>42</v>
      </c>
      <c r="V12" s="418"/>
      <c r="W12" s="419">
        <v>0.1</v>
      </c>
      <c r="X12" s="513"/>
    </row>
    <row r="13" spans="1:24">
      <c r="A13" s="20" t="s">
        <v>58</v>
      </c>
      <c r="B13" s="21" t="str">
        <f t="shared" si="2"/>
        <v>80</v>
      </c>
      <c r="C13" s="20" t="s">
        <v>30</v>
      </c>
      <c r="D13" s="21" t="s">
        <v>37</v>
      </c>
      <c r="E13" s="22" t="s">
        <v>38</v>
      </c>
      <c r="F13" s="234" t="s">
        <v>39</v>
      </c>
      <c r="G13" s="471" t="s">
        <v>59</v>
      </c>
      <c r="H13" s="20"/>
      <c r="K13" s="498" t="s">
        <v>51</v>
      </c>
      <c r="L13" s="23">
        <v>13.7</v>
      </c>
      <c r="M13" s="23">
        <v>14.247999999999999</v>
      </c>
      <c r="N13" s="356"/>
      <c r="O13" s="204" t="s">
        <v>41</v>
      </c>
      <c r="P13" s="24">
        <f t="shared" si="1"/>
        <v>0.64800000000000002</v>
      </c>
      <c r="Q13" s="25">
        <f t="shared" si="0"/>
        <v>4.7299270072992707E-2</v>
      </c>
      <c r="R13" s="25"/>
      <c r="S13" s="25"/>
      <c r="T13" s="25"/>
      <c r="U13" s="402" t="s">
        <v>42</v>
      </c>
      <c r="V13" s="418"/>
      <c r="W13" s="419">
        <v>0.1</v>
      </c>
      <c r="X13" s="513"/>
    </row>
    <row r="14" spans="1:24">
      <c r="A14" s="20" t="s">
        <v>60</v>
      </c>
      <c r="B14" s="21" t="str">
        <f t="shared" si="2"/>
        <v>50</v>
      </c>
      <c r="C14" s="20" t="s">
        <v>20</v>
      </c>
      <c r="D14" s="21" t="s">
        <v>37</v>
      </c>
      <c r="E14" s="22" t="s">
        <v>38</v>
      </c>
      <c r="F14" s="234" t="s">
        <v>39</v>
      </c>
      <c r="G14" s="471" t="s">
        <v>61</v>
      </c>
      <c r="H14" s="20"/>
      <c r="K14" s="501"/>
      <c r="L14" s="23">
        <v>8.6329999999999991</v>
      </c>
      <c r="M14" s="23">
        <v>10.06</v>
      </c>
      <c r="N14" s="356"/>
      <c r="O14" s="204" t="s">
        <v>41</v>
      </c>
      <c r="P14" s="24">
        <f t="shared" si="1"/>
        <v>1.4270000000000014</v>
      </c>
      <c r="Q14" s="25">
        <f t="shared" si="0"/>
        <v>0.16529595737287173</v>
      </c>
      <c r="R14" s="25"/>
      <c r="S14" s="25"/>
      <c r="T14" s="25"/>
      <c r="U14" s="402" t="s">
        <v>42</v>
      </c>
      <c r="V14" s="418"/>
      <c r="W14" s="419"/>
      <c r="X14" s="513"/>
    </row>
    <row r="15" spans="1:24">
      <c r="A15" s="20" t="s">
        <v>62</v>
      </c>
      <c r="B15" s="21" t="str">
        <f t="shared" si="2"/>
        <v>50</v>
      </c>
      <c r="C15" s="20" t="s">
        <v>20</v>
      </c>
      <c r="D15" s="21" t="s">
        <v>37</v>
      </c>
      <c r="E15" s="22" t="s">
        <v>38</v>
      </c>
      <c r="F15" s="234" t="s">
        <v>39</v>
      </c>
      <c r="G15" s="471" t="s">
        <v>63</v>
      </c>
      <c r="H15" s="20"/>
      <c r="K15" s="501"/>
      <c r="L15" s="23">
        <v>8.6329999999999991</v>
      </c>
      <c r="M15" s="23">
        <v>10.06</v>
      </c>
      <c r="N15" s="356"/>
      <c r="O15" s="204" t="s">
        <v>41</v>
      </c>
      <c r="P15" s="24">
        <f>M15-L15+W15-V15</f>
        <v>1.4270000000000014</v>
      </c>
      <c r="Q15" s="25">
        <f t="shared" si="0"/>
        <v>0.16529595737287173</v>
      </c>
      <c r="R15" s="25"/>
      <c r="S15" s="25"/>
      <c r="T15" s="25"/>
      <c r="U15" s="402" t="s">
        <v>42</v>
      </c>
      <c r="V15" s="418"/>
      <c r="W15" s="419"/>
      <c r="X15" s="513"/>
    </row>
    <row r="16" spans="1:24">
      <c r="A16" s="20" t="s">
        <v>64</v>
      </c>
      <c r="B16" s="21">
        <v>190</v>
      </c>
      <c r="C16" s="20" t="s">
        <v>65</v>
      </c>
      <c r="D16" s="21">
        <v>1003</v>
      </c>
      <c r="E16" s="22" t="s">
        <v>38</v>
      </c>
      <c r="F16" s="234" t="s">
        <v>39</v>
      </c>
      <c r="G16" s="471" t="s">
        <v>63</v>
      </c>
      <c r="H16" s="20"/>
      <c r="K16" s="501"/>
      <c r="L16" s="129">
        <v>8.61</v>
      </c>
      <c r="M16" s="23">
        <v>10.06</v>
      </c>
      <c r="N16" s="356"/>
      <c r="O16" s="204" t="s">
        <v>41</v>
      </c>
      <c r="P16" s="24">
        <f t="shared" ref="P16:P28" si="3">M16-L16+W16-V16</f>
        <v>1.4500000000000011</v>
      </c>
      <c r="Q16" s="25">
        <f t="shared" si="0"/>
        <v>0.16840882694541245</v>
      </c>
      <c r="R16" s="25"/>
      <c r="S16" s="25"/>
      <c r="T16" s="25"/>
      <c r="U16" s="402" t="s">
        <v>42</v>
      </c>
      <c r="V16" s="418"/>
      <c r="W16" s="419"/>
      <c r="X16" s="513"/>
    </row>
    <row r="17" spans="1:24">
      <c r="A17" s="20" t="s">
        <v>66</v>
      </c>
      <c r="B17" s="21" t="str">
        <f>LEFT(A17,2)</f>
        <v>20</v>
      </c>
      <c r="C17" s="20" t="s">
        <v>67</v>
      </c>
      <c r="D17" s="21" t="s">
        <v>37</v>
      </c>
      <c r="E17" s="22" t="s">
        <v>38</v>
      </c>
      <c r="F17" s="234" t="s">
        <v>39</v>
      </c>
      <c r="G17" s="471" t="s">
        <v>68</v>
      </c>
      <c r="H17" s="20" t="s">
        <v>69</v>
      </c>
      <c r="K17" s="501"/>
      <c r="L17" s="23">
        <v>10.85</v>
      </c>
      <c r="M17" s="23">
        <v>12.12</v>
      </c>
      <c r="N17" s="356"/>
      <c r="O17" s="204" t="s">
        <v>41</v>
      </c>
      <c r="P17" s="24">
        <f t="shared" si="3"/>
        <v>1.2699999999999996</v>
      </c>
      <c r="Q17" s="25">
        <f t="shared" si="0"/>
        <v>0.1170506912442396</v>
      </c>
      <c r="R17" s="25"/>
      <c r="S17" s="25"/>
      <c r="T17" s="25"/>
      <c r="U17" s="402" t="s">
        <v>42</v>
      </c>
      <c r="V17" s="418"/>
      <c r="W17" s="419"/>
      <c r="X17" s="513"/>
    </row>
    <row r="18" spans="1:24">
      <c r="A18" s="20" t="s">
        <v>70</v>
      </c>
      <c r="B18" s="21">
        <v>80</v>
      </c>
      <c r="C18" s="20" t="s">
        <v>30</v>
      </c>
      <c r="D18" s="21" t="s">
        <v>37</v>
      </c>
      <c r="E18" s="22" t="s">
        <v>38</v>
      </c>
      <c r="F18" s="234" t="s">
        <v>39</v>
      </c>
      <c r="G18" s="471" t="s">
        <v>71</v>
      </c>
      <c r="H18" s="20"/>
      <c r="K18" s="501"/>
      <c r="L18" s="23">
        <v>17.399999999999999</v>
      </c>
      <c r="M18" s="23">
        <v>18.7</v>
      </c>
      <c r="N18" s="356"/>
      <c r="O18" s="204" t="s">
        <v>41</v>
      </c>
      <c r="P18" s="24">
        <f t="shared" si="3"/>
        <v>1.3000000000000007</v>
      </c>
      <c r="Q18" s="25">
        <f t="shared" si="0"/>
        <v>7.4712643678160967E-2</v>
      </c>
      <c r="R18" s="25"/>
      <c r="S18" s="25"/>
      <c r="T18" s="25"/>
      <c r="U18" s="402" t="s">
        <v>42</v>
      </c>
      <c r="V18" s="418"/>
      <c r="W18" s="419"/>
      <c r="X18" s="513"/>
    </row>
    <row r="19" spans="1:24">
      <c r="A19" s="20" t="s">
        <v>72</v>
      </c>
      <c r="B19" s="21" t="str">
        <f>LEFT(A19,2)</f>
        <v>20</v>
      </c>
      <c r="C19" s="20" t="s">
        <v>67</v>
      </c>
      <c r="D19" s="21" t="s">
        <v>37</v>
      </c>
      <c r="E19" s="22" t="s">
        <v>38</v>
      </c>
      <c r="F19" s="234" t="s">
        <v>39</v>
      </c>
      <c r="G19" s="471" t="s">
        <v>73</v>
      </c>
      <c r="H19" s="20" t="s">
        <v>69</v>
      </c>
      <c r="K19" s="501"/>
      <c r="L19" s="23">
        <v>9.1</v>
      </c>
      <c r="M19" s="23">
        <v>10.79</v>
      </c>
      <c r="N19" s="356"/>
      <c r="O19" s="204" t="s">
        <v>41</v>
      </c>
      <c r="P19" s="24">
        <f t="shared" si="3"/>
        <v>1.6899999999999995</v>
      </c>
      <c r="Q19" s="25">
        <f t="shared" si="0"/>
        <v>0.18571428571428567</v>
      </c>
      <c r="R19" s="25"/>
      <c r="S19" s="25"/>
      <c r="T19" s="25"/>
      <c r="U19" s="402" t="s">
        <v>42</v>
      </c>
      <c r="V19" s="418"/>
      <c r="W19" s="419"/>
      <c r="X19" s="513"/>
    </row>
    <row r="20" spans="1:24">
      <c r="A20" s="20" t="s">
        <v>74</v>
      </c>
      <c r="B20" s="21">
        <v>10</v>
      </c>
      <c r="C20" s="20" t="s">
        <v>75</v>
      </c>
      <c r="D20" s="21" t="s">
        <v>37</v>
      </c>
      <c r="E20" s="22" t="s">
        <v>38</v>
      </c>
      <c r="F20" s="234" t="s">
        <v>39</v>
      </c>
      <c r="G20" s="471" t="s">
        <v>76</v>
      </c>
      <c r="H20" s="20"/>
      <c r="K20" s="501"/>
      <c r="L20" s="129">
        <v>7.15</v>
      </c>
      <c r="M20" s="23">
        <v>8.09</v>
      </c>
      <c r="N20" s="356"/>
      <c r="O20" s="204" t="s">
        <v>41</v>
      </c>
      <c r="P20" s="24">
        <f t="shared" si="3"/>
        <v>0.9399999999999995</v>
      </c>
      <c r="Q20" s="25">
        <f t="shared" si="0"/>
        <v>0.13146853146853138</v>
      </c>
      <c r="R20" s="25"/>
      <c r="S20" s="25"/>
      <c r="T20" s="25"/>
      <c r="U20" s="402" t="s">
        <v>42</v>
      </c>
      <c r="V20" s="418"/>
      <c r="W20" s="419"/>
      <c r="X20" s="513"/>
    </row>
    <row r="21" spans="1:24" ht="15.4" customHeight="1">
      <c r="A21" s="20" t="s">
        <v>77</v>
      </c>
      <c r="B21" s="21">
        <v>10</v>
      </c>
      <c r="C21" s="20" t="s">
        <v>75</v>
      </c>
      <c r="D21" s="21" t="s">
        <v>37</v>
      </c>
      <c r="E21" s="22" t="s">
        <v>38</v>
      </c>
      <c r="F21" s="234" t="s">
        <v>39</v>
      </c>
      <c r="G21" s="471" t="s">
        <v>78</v>
      </c>
      <c r="H21" s="20"/>
      <c r="K21" s="501"/>
      <c r="L21" s="129">
        <v>11.03</v>
      </c>
      <c r="M21" s="23">
        <v>12.28</v>
      </c>
      <c r="N21" s="356"/>
      <c r="O21" s="204" t="s">
        <v>41</v>
      </c>
      <c r="P21" s="24">
        <f t="shared" si="3"/>
        <v>1.25</v>
      </c>
      <c r="Q21" s="25">
        <f t="shared" si="0"/>
        <v>0.11332728921124208</v>
      </c>
      <c r="R21" s="25"/>
      <c r="S21" s="25"/>
      <c r="T21" s="25"/>
      <c r="U21" s="402" t="s">
        <v>42</v>
      </c>
      <c r="V21" s="418"/>
      <c r="W21" s="419"/>
      <c r="X21" s="513"/>
    </row>
    <row r="22" spans="1:24">
      <c r="A22" s="20" t="s">
        <v>79</v>
      </c>
      <c r="B22" s="21" t="str">
        <f>LEFT(A22,3)</f>
        <v>110</v>
      </c>
      <c r="C22" s="20" t="s">
        <v>80</v>
      </c>
      <c r="D22" s="21" t="s">
        <v>37</v>
      </c>
      <c r="E22" s="22" t="s">
        <v>38</v>
      </c>
      <c r="F22" s="234" t="s">
        <v>39</v>
      </c>
      <c r="G22" s="471" t="s">
        <v>81</v>
      </c>
      <c r="H22" s="20"/>
      <c r="K22" s="501"/>
      <c r="L22" s="23">
        <v>16.350000000000001</v>
      </c>
      <c r="M22" s="23">
        <v>17.510000000000002</v>
      </c>
      <c r="N22" s="356"/>
      <c r="O22" s="204" t="s">
        <v>41</v>
      </c>
      <c r="P22" s="24">
        <f t="shared" si="3"/>
        <v>1.1600000000000001</v>
      </c>
      <c r="Q22" s="25">
        <f t="shared" si="0"/>
        <v>7.0948012232415911E-2</v>
      </c>
      <c r="R22" s="25"/>
      <c r="S22" s="25"/>
      <c r="T22" s="25"/>
      <c r="U22" s="402" t="s">
        <v>42</v>
      </c>
      <c r="V22" s="418"/>
      <c r="W22" s="419"/>
      <c r="X22" s="513"/>
    </row>
    <row r="23" spans="1:24">
      <c r="A23" s="20" t="s">
        <v>82</v>
      </c>
      <c r="B23" s="21" t="str">
        <f>LEFT(A23,2)</f>
        <v>20</v>
      </c>
      <c r="C23" s="20" t="s">
        <v>67</v>
      </c>
      <c r="D23" s="21" t="s">
        <v>37</v>
      </c>
      <c r="E23" s="22" t="s">
        <v>38</v>
      </c>
      <c r="F23" s="234" t="s">
        <v>39</v>
      </c>
      <c r="G23" s="471" t="s">
        <v>83</v>
      </c>
      <c r="H23" s="20" t="s">
        <v>69</v>
      </c>
      <c r="K23" s="501"/>
      <c r="L23" s="23">
        <v>12.4</v>
      </c>
      <c r="M23" s="23">
        <v>13.5</v>
      </c>
      <c r="N23" s="356"/>
      <c r="O23" s="204" t="s">
        <v>41</v>
      </c>
      <c r="P23" s="24">
        <f t="shared" si="3"/>
        <v>1.0999999999999996</v>
      </c>
      <c r="Q23" s="25">
        <f t="shared" si="0"/>
        <v>8.8709677419354802E-2</v>
      </c>
      <c r="R23" s="25"/>
      <c r="S23" s="25"/>
      <c r="T23" s="25"/>
      <c r="U23" s="402" t="s">
        <v>42</v>
      </c>
      <c r="V23" s="418"/>
      <c r="W23" s="419"/>
      <c r="X23" s="513"/>
    </row>
    <row r="24" spans="1:24">
      <c r="A24" s="20" t="s">
        <v>84</v>
      </c>
      <c r="B24" s="21">
        <v>80</v>
      </c>
      <c r="C24" s="20" t="s">
        <v>30</v>
      </c>
      <c r="D24" s="21">
        <v>1003</v>
      </c>
      <c r="E24" s="22" t="s">
        <v>38</v>
      </c>
      <c r="F24" s="234" t="s">
        <v>39</v>
      </c>
      <c r="G24" s="471" t="s">
        <v>85</v>
      </c>
      <c r="H24" s="20"/>
      <c r="K24" s="501"/>
      <c r="L24" s="23">
        <v>15.1</v>
      </c>
      <c r="M24" s="23">
        <v>16.66</v>
      </c>
      <c r="N24" s="356"/>
      <c r="O24" s="204" t="s">
        <v>41</v>
      </c>
      <c r="P24" s="24">
        <f t="shared" si="3"/>
        <v>1.5600000000000005</v>
      </c>
      <c r="Q24" s="25">
        <f t="shared" si="0"/>
        <v>0.10331125827814573</v>
      </c>
      <c r="R24" s="25"/>
      <c r="S24" s="25"/>
      <c r="T24" s="25"/>
      <c r="U24" s="402" t="s">
        <v>42</v>
      </c>
      <c r="V24" s="418"/>
      <c r="W24" s="419"/>
      <c r="X24" s="513"/>
    </row>
    <row r="25" spans="1:24">
      <c r="A25" s="20" t="s">
        <v>86</v>
      </c>
      <c r="B25" s="21">
        <v>80</v>
      </c>
      <c r="C25" s="20" t="s">
        <v>30</v>
      </c>
      <c r="D25" s="21">
        <v>1003</v>
      </c>
      <c r="E25" s="22" t="s">
        <v>38</v>
      </c>
      <c r="F25" s="234" t="s">
        <v>39</v>
      </c>
      <c r="G25" s="471" t="s">
        <v>87</v>
      </c>
      <c r="H25" s="20"/>
      <c r="K25" s="501"/>
      <c r="L25" s="23">
        <v>11.25</v>
      </c>
      <c r="M25" s="23">
        <v>12.5</v>
      </c>
      <c r="N25" s="356"/>
      <c r="O25" s="204" t="s">
        <v>41</v>
      </c>
      <c r="P25" s="24">
        <f t="shared" si="3"/>
        <v>1.25</v>
      </c>
      <c r="Q25" s="25">
        <f t="shared" si="0"/>
        <v>0.1111111111111111</v>
      </c>
      <c r="R25" s="25"/>
      <c r="S25" s="25"/>
      <c r="T25" s="25"/>
      <c r="U25" s="402" t="s">
        <v>42</v>
      </c>
      <c r="V25" s="418"/>
      <c r="W25" s="419"/>
      <c r="X25" s="513"/>
    </row>
    <row r="26" spans="1:24">
      <c r="A26" s="20" t="s">
        <v>88</v>
      </c>
      <c r="B26" s="21" t="str">
        <f>LEFT(A26,2)</f>
        <v>80</v>
      </c>
      <c r="C26" s="20" t="s">
        <v>30</v>
      </c>
      <c r="D26" s="21" t="s">
        <v>37</v>
      </c>
      <c r="E26" s="22" t="s">
        <v>38</v>
      </c>
      <c r="F26" s="234" t="s">
        <v>39</v>
      </c>
      <c r="G26" s="471" t="s">
        <v>89</v>
      </c>
      <c r="H26" s="20"/>
      <c r="K26" s="501"/>
      <c r="L26" s="23">
        <v>15.25</v>
      </c>
      <c r="M26" s="23">
        <v>16.53</v>
      </c>
      <c r="N26" s="356"/>
      <c r="O26" s="204" t="s">
        <v>41</v>
      </c>
      <c r="P26" s="24">
        <f t="shared" si="3"/>
        <v>1.2800000000000011</v>
      </c>
      <c r="Q26" s="25">
        <f t="shared" si="0"/>
        <v>8.3934426229508266E-2</v>
      </c>
      <c r="R26" s="25"/>
      <c r="S26" s="25"/>
      <c r="T26" s="25"/>
      <c r="U26" s="402" t="s">
        <v>42</v>
      </c>
      <c r="V26" s="418"/>
      <c r="W26" s="419"/>
      <c r="X26" s="513"/>
    </row>
    <row r="27" spans="1:24">
      <c r="A27" s="20" t="s">
        <v>90</v>
      </c>
      <c r="B27" s="21">
        <v>20</v>
      </c>
      <c r="C27" s="20" t="s">
        <v>67</v>
      </c>
      <c r="D27" s="21" t="s">
        <v>37</v>
      </c>
      <c r="E27" s="22" t="s">
        <v>38</v>
      </c>
      <c r="F27" s="234" t="s">
        <v>39</v>
      </c>
      <c r="G27" s="471" t="s">
        <v>91</v>
      </c>
      <c r="H27" s="20" t="s">
        <v>92</v>
      </c>
      <c r="K27" s="502"/>
      <c r="L27" s="23">
        <v>13.55</v>
      </c>
      <c r="M27" s="23">
        <v>16.204999999999998</v>
      </c>
      <c r="N27" s="356"/>
      <c r="O27" s="204" t="s">
        <v>41</v>
      </c>
      <c r="P27" s="24">
        <f t="shared" si="3"/>
        <v>2.6549999999999976</v>
      </c>
      <c r="Q27" s="25">
        <f t="shared" si="0"/>
        <v>0.19594095940959391</v>
      </c>
      <c r="R27" s="25"/>
      <c r="S27" s="25"/>
      <c r="T27" s="25"/>
      <c r="U27" s="402" t="s">
        <v>42</v>
      </c>
      <c r="V27" s="418"/>
      <c r="W27" s="419"/>
      <c r="X27" s="513"/>
    </row>
    <row r="28" spans="1:24">
      <c r="A28" s="20" t="s">
        <v>93</v>
      </c>
      <c r="B28" s="21">
        <v>20</v>
      </c>
      <c r="C28" s="20" t="s">
        <v>67</v>
      </c>
      <c r="D28" s="21" t="s">
        <v>37</v>
      </c>
      <c r="E28" s="22" t="s">
        <v>38</v>
      </c>
      <c r="F28" s="234" t="s">
        <v>39</v>
      </c>
      <c r="G28" s="471" t="s">
        <v>94</v>
      </c>
      <c r="H28" s="20" t="s">
        <v>95</v>
      </c>
      <c r="K28" s="502"/>
      <c r="L28" s="23">
        <v>11</v>
      </c>
      <c r="M28" s="23">
        <v>12.1</v>
      </c>
      <c r="N28" s="356"/>
      <c r="O28" s="204" t="s">
        <v>41</v>
      </c>
      <c r="P28" s="24">
        <f t="shared" si="3"/>
        <v>1.0999999999999996</v>
      </c>
      <c r="Q28" s="25">
        <f t="shared" si="0"/>
        <v>9.9999999999999964E-2</v>
      </c>
      <c r="R28" s="25"/>
      <c r="S28" s="25"/>
      <c r="T28" s="25"/>
      <c r="U28" s="402" t="s">
        <v>42</v>
      </c>
      <c r="V28" s="418"/>
      <c r="W28" s="419"/>
      <c r="X28" s="513"/>
    </row>
    <row r="29" spans="1:24">
      <c r="A29" s="27" t="s">
        <v>96</v>
      </c>
      <c r="B29" s="28" t="str">
        <f>LEFT(A29,3)</f>
        <v>150</v>
      </c>
      <c r="C29" s="27" t="s">
        <v>97</v>
      </c>
      <c r="D29" s="28" t="s">
        <v>98</v>
      </c>
      <c r="E29" s="29" t="s">
        <v>99</v>
      </c>
      <c r="F29" s="235" t="s">
        <v>22</v>
      </c>
      <c r="G29" s="472" t="s">
        <v>100</v>
      </c>
      <c r="H29" s="27"/>
      <c r="K29" s="497" t="s">
        <v>32</v>
      </c>
      <c r="L29" s="30">
        <v>3.2</v>
      </c>
      <c r="M29" s="30">
        <v>4.45</v>
      </c>
      <c r="N29" s="357"/>
      <c r="O29" s="205" t="s">
        <v>101</v>
      </c>
      <c r="P29" s="31">
        <f>M29-L29</f>
        <v>1.25</v>
      </c>
      <c r="Q29" s="31"/>
      <c r="R29" s="31"/>
      <c r="S29" s="31"/>
      <c r="T29" s="31"/>
      <c r="U29" s="403"/>
      <c r="V29" s="420"/>
      <c r="W29" s="421"/>
      <c r="X29" s="513"/>
    </row>
    <row r="30" spans="1:24">
      <c r="A30" s="27" t="s">
        <v>102</v>
      </c>
      <c r="B30" s="28" t="str">
        <f>LEFT(A30,3)</f>
        <v>150</v>
      </c>
      <c r="C30" s="27" t="s">
        <v>97</v>
      </c>
      <c r="D30" s="28" t="s">
        <v>98</v>
      </c>
      <c r="E30" s="29" t="s">
        <v>99</v>
      </c>
      <c r="F30" s="235" t="s">
        <v>22</v>
      </c>
      <c r="G30" s="472" t="s">
        <v>103</v>
      </c>
      <c r="H30" s="27"/>
      <c r="K30" s="497" t="s">
        <v>32</v>
      </c>
      <c r="L30" s="30">
        <v>3.2</v>
      </c>
      <c r="M30" s="30">
        <v>4.45</v>
      </c>
      <c r="N30" s="357"/>
      <c r="O30" s="205" t="s">
        <v>101</v>
      </c>
      <c r="P30" s="31">
        <f>M30-L30</f>
        <v>1.25</v>
      </c>
      <c r="Q30" s="31"/>
      <c r="R30" s="31"/>
      <c r="S30" s="31"/>
      <c r="T30" s="31"/>
      <c r="U30" s="403"/>
      <c r="V30" s="420"/>
      <c r="W30" s="421"/>
      <c r="X30" s="513"/>
    </row>
    <row r="31" spans="1:24">
      <c r="A31" s="27" t="s">
        <v>104</v>
      </c>
      <c r="B31" s="28" t="str">
        <f>LEFT(A31,2)</f>
        <v>80</v>
      </c>
      <c r="C31" s="27" t="s">
        <v>30</v>
      </c>
      <c r="D31" s="28" t="s">
        <v>98</v>
      </c>
      <c r="E31" s="29" t="s">
        <v>99</v>
      </c>
      <c r="F31" s="235" t="s">
        <v>22</v>
      </c>
      <c r="G31" s="472" t="s">
        <v>105</v>
      </c>
      <c r="H31" s="27"/>
      <c r="K31" s="497" t="s">
        <v>32</v>
      </c>
      <c r="L31" s="30">
        <v>15.45</v>
      </c>
      <c r="M31" s="30">
        <v>14.45</v>
      </c>
      <c r="N31" s="357"/>
      <c r="O31" s="205" t="s">
        <v>101</v>
      </c>
      <c r="P31" s="31">
        <f>M31-L31</f>
        <v>-1</v>
      </c>
      <c r="Q31" s="31"/>
      <c r="R31" s="31"/>
      <c r="S31" s="31"/>
      <c r="T31" s="31"/>
      <c r="U31" s="403"/>
      <c r="V31" s="420"/>
      <c r="W31" s="421"/>
      <c r="X31" s="513"/>
    </row>
    <row r="32" spans="1:24">
      <c r="A32" s="27" t="s">
        <v>106</v>
      </c>
      <c r="B32" s="28" t="str">
        <f>LEFT(A32,2)</f>
        <v>80</v>
      </c>
      <c r="C32" s="27" t="s">
        <v>30</v>
      </c>
      <c r="D32" s="28" t="s">
        <v>98</v>
      </c>
      <c r="E32" s="29" t="s">
        <v>99</v>
      </c>
      <c r="F32" s="235" t="s">
        <v>22</v>
      </c>
      <c r="G32" s="472" t="s">
        <v>107</v>
      </c>
      <c r="H32" s="27"/>
      <c r="K32" s="497" t="s">
        <v>32</v>
      </c>
      <c r="L32" s="30">
        <v>14.95</v>
      </c>
      <c r="M32" s="30">
        <v>13.96</v>
      </c>
      <c r="N32" s="357"/>
      <c r="O32" s="205" t="s">
        <v>101</v>
      </c>
      <c r="P32" s="31">
        <f>M32-L32</f>
        <v>-0.98999999999999844</v>
      </c>
      <c r="Q32" s="31"/>
      <c r="R32" s="31"/>
      <c r="S32" s="31"/>
      <c r="T32" s="31"/>
      <c r="U32" s="403"/>
      <c r="V32" s="420"/>
      <c r="W32" s="421"/>
      <c r="X32" s="513"/>
    </row>
    <row r="33" spans="1:15875">
      <c r="A33" s="27" t="s">
        <v>108</v>
      </c>
      <c r="B33" s="28" t="str">
        <f>LEFT(A33,2)</f>
        <v>80</v>
      </c>
      <c r="C33" s="27" t="s">
        <v>30</v>
      </c>
      <c r="D33" s="28" t="s">
        <v>98</v>
      </c>
      <c r="E33" s="29" t="s">
        <v>99</v>
      </c>
      <c r="F33" s="235" t="s">
        <v>22</v>
      </c>
      <c r="G33" s="472" t="s">
        <v>59</v>
      </c>
      <c r="H33" s="27"/>
      <c r="K33" s="497" t="s">
        <v>32</v>
      </c>
      <c r="L33" s="30">
        <v>13.7</v>
      </c>
      <c r="M33" s="30">
        <v>13.99</v>
      </c>
      <c r="N33" s="357"/>
      <c r="O33" s="205" t="s">
        <v>101</v>
      </c>
      <c r="P33" s="31">
        <f>M33-L33</f>
        <v>0.29000000000000092</v>
      </c>
      <c r="Q33" s="31"/>
      <c r="R33" s="31"/>
      <c r="S33" s="31"/>
      <c r="T33" s="31"/>
      <c r="U33" s="403"/>
      <c r="V33" s="420"/>
      <c r="W33" s="421"/>
      <c r="X33" s="513"/>
    </row>
    <row r="34" spans="1:15875">
      <c r="A34" s="27" t="s">
        <v>109</v>
      </c>
      <c r="B34" s="28">
        <v>110</v>
      </c>
      <c r="C34" s="27" t="s">
        <v>80</v>
      </c>
      <c r="D34" s="28">
        <v>1005</v>
      </c>
      <c r="E34" s="29" t="s">
        <v>99</v>
      </c>
      <c r="F34" s="235" t="s">
        <v>22</v>
      </c>
      <c r="G34" s="472" t="s">
        <v>110</v>
      </c>
      <c r="H34" s="27"/>
      <c r="K34" s="497" t="s">
        <v>32</v>
      </c>
      <c r="L34" s="30">
        <v>16.350000000000001</v>
      </c>
      <c r="M34" s="183">
        <f>18.9*0.93</f>
        <v>17.576999999999998</v>
      </c>
      <c r="N34" s="357"/>
      <c r="O34" s="205" t="s">
        <v>111</v>
      </c>
      <c r="P34" s="31">
        <f>M34-L34-V34+W34</f>
        <v>0.53007101727446893</v>
      </c>
      <c r="Q34" s="175">
        <f>P34/L34</f>
        <v>3.2420245704860483E-2</v>
      </c>
      <c r="R34" s="175"/>
      <c r="S34" s="175"/>
      <c r="T34" s="175"/>
      <c r="U34" s="403" t="s">
        <v>26</v>
      </c>
      <c r="V34" s="420">
        <f>(288.1+75)/521</f>
        <v>0.69692898272552783</v>
      </c>
      <c r="W34" s="421"/>
      <c r="X34" s="513"/>
    </row>
    <row r="35" spans="1:15875">
      <c r="A35" s="27" t="s">
        <v>112</v>
      </c>
      <c r="B35" s="28" t="str">
        <f>LEFT(A35,3)</f>
        <v>100</v>
      </c>
      <c r="C35" s="27" t="s">
        <v>113</v>
      </c>
      <c r="D35" s="28" t="s">
        <v>98</v>
      </c>
      <c r="E35" s="29" t="s">
        <v>99</v>
      </c>
      <c r="F35" s="235" t="s">
        <v>22</v>
      </c>
      <c r="G35" s="472" t="s">
        <v>114</v>
      </c>
      <c r="H35" s="27"/>
      <c r="K35" s="497" t="s">
        <v>32</v>
      </c>
      <c r="L35" s="30">
        <v>10.199999999999999</v>
      </c>
      <c r="M35" s="30">
        <v>13.99</v>
      </c>
      <c r="N35" s="357"/>
      <c r="O35" s="205" t="s">
        <v>101</v>
      </c>
      <c r="P35" s="31">
        <f>M35-L35</f>
        <v>3.7900000000000009</v>
      </c>
      <c r="Q35" s="31"/>
      <c r="R35" s="31"/>
      <c r="S35" s="31"/>
      <c r="T35" s="31"/>
      <c r="U35" s="403"/>
      <c r="V35" s="420"/>
      <c r="W35" s="421"/>
      <c r="X35" s="513"/>
    </row>
    <row r="36" spans="1:15875" s="76" customFormat="1">
      <c r="A36" s="32" t="s">
        <v>115</v>
      </c>
      <c r="B36" s="33" t="str">
        <f>LEFT(A36,3)</f>
        <v>120</v>
      </c>
      <c r="C36" s="32" t="s">
        <v>36</v>
      </c>
      <c r="D36" s="33" t="s">
        <v>116</v>
      </c>
      <c r="E36" s="34" t="s">
        <v>117</v>
      </c>
      <c r="F36" s="236" t="s">
        <v>118</v>
      </c>
      <c r="G36" s="230" t="s">
        <v>119</v>
      </c>
      <c r="H36" s="32"/>
      <c r="I36"/>
      <c r="J36"/>
      <c r="K36" s="502"/>
      <c r="L36" s="35">
        <v>14.05</v>
      </c>
      <c r="M36" s="35">
        <v>14.7</v>
      </c>
      <c r="N36" s="358"/>
      <c r="O36" s="206" t="s">
        <v>41</v>
      </c>
      <c r="P36" s="36">
        <f>M36-L36+W36</f>
        <v>1.0499999999999985</v>
      </c>
      <c r="Q36" s="77">
        <f t="shared" ref="Q36:Q63" si="4">P36/L36</f>
        <v>7.4733096085409137E-2</v>
      </c>
      <c r="R36" s="77"/>
      <c r="S36" s="77"/>
      <c r="T36" s="77"/>
      <c r="U36" s="399" t="s">
        <v>27</v>
      </c>
      <c r="V36" s="192"/>
      <c r="W36" s="388">
        <v>0.4</v>
      </c>
      <c r="X36" s="513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  <c r="AMK36"/>
      <c r="AML36"/>
      <c r="AMM36"/>
      <c r="AMN36"/>
      <c r="AMO36"/>
      <c r="AMP36"/>
      <c r="AMQ36"/>
      <c r="AMR36"/>
      <c r="AMS36"/>
      <c r="AMT36"/>
      <c r="AMU36"/>
      <c r="AMV36"/>
      <c r="AMW36"/>
      <c r="AMX36"/>
      <c r="AMY36"/>
      <c r="AMZ36"/>
      <c r="ANA36"/>
      <c r="ANB36"/>
      <c r="ANC36"/>
      <c r="AND36"/>
      <c r="ANE36"/>
      <c r="ANF36"/>
      <c r="ANG36"/>
      <c r="ANH36"/>
      <c r="ANI36"/>
      <c r="ANJ36"/>
      <c r="ANK36"/>
      <c r="ANL36"/>
      <c r="ANM36"/>
      <c r="ANN36"/>
      <c r="ANO36"/>
      <c r="ANP36"/>
      <c r="ANQ36"/>
      <c r="ANR36"/>
      <c r="ANS36"/>
      <c r="ANT36"/>
      <c r="ANU36"/>
      <c r="ANV36"/>
      <c r="ANW36"/>
      <c r="ANX36"/>
      <c r="ANY36"/>
      <c r="ANZ36"/>
      <c r="AOA36"/>
      <c r="AOB36"/>
      <c r="AOC36"/>
      <c r="AOD36"/>
      <c r="AOE36"/>
      <c r="AOF36"/>
      <c r="AOG36"/>
      <c r="AOH36"/>
      <c r="AOI36"/>
      <c r="AOJ36"/>
      <c r="AOK36"/>
      <c r="AOL36"/>
      <c r="AOM36"/>
      <c r="AON36"/>
      <c r="AOO36"/>
      <c r="AOP36"/>
      <c r="AOQ36"/>
      <c r="AOR36"/>
      <c r="AOS36"/>
      <c r="AOT36"/>
      <c r="AOU36"/>
      <c r="AOV36"/>
      <c r="AOW36"/>
      <c r="AOX36"/>
      <c r="AOY36"/>
      <c r="AOZ36"/>
      <c r="APA36"/>
      <c r="APB36"/>
      <c r="APC36"/>
      <c r="APD36"/>
      <c r="APE36"/>
      <c r="APF36"/>
      <c r="APG36"/>
      <c r="APH36"/>
      <c r="API36"/>
      <c r="APJ36"/>
      <c r="APK36"/>
      <c r="APL36"/>
      <c r="APM36"/>
      <c r="APN36"/>
      <c r="APO36"/>
      <c r="APP36"/>
      <c r="APQ36"/>
      <c r="APR36"/>
      <c r="APS36"/>
      <c r="APT36"/>
      <c r="APU36"/>
      <c r="APV36"/>
      <c r="APW36"/>
      <c r="APX36"/>
      <c r="APY36"/>
      <c r="APZ36"/>
      <c r="AQA36"/>
      <c r="AQB36"/>
      <c r="AQC36"/>
      <c r="AQD36"/>
      <c r="AQE36"/>
      <c r="AQF36"/>
      <c r="AQG36"/>
      <c r="AQH36"/>
      <c r="AQI36"/>
      <c r="AQJ36"/>
      <c r="AQK36"/>
      <c r="AQL36"/>
      <c r="AQM36"/>
      <c r="AQN36"/>
      <c r="AQO36"/>
      <c r="AQP36"/>
      <c r="AQQ36"/>
      <c r="AQR36"/>
      <c r="AQS36"/>
      <c r="AQT36"/>
      <c r="AQU36"/>
      <c r="AQV36"/>
      <c r="AQW36"/>
      <c r="AQX36"/>
      <c r="AQY36"/>
      <c r="AQZ36"/>
      <c r="ARA36"/>
      <c r="ARB36"/>
      <c r="ARC36"/>
      <c r="ARD36"/>
      <c r="ARE36"/>
      <c r="ARF36"/>
      <c r="ARG36"/>
      <c r="ARH36"/>
      <c r="ARI36"/>
      <c r="ARJ36"/>
      <c r="ARK36"/>
      <c r="ARL36"/>
      <c r="ARM36"/>
      <c r="ARN36"/>
      <c r="ARO36"/>
      <c r="ARP36"/>
      <c r="ARQ36"/>
      <c r="ARR36"/>
      <c r="ARS36"/>
      <c r="ART36"/>
      <c r="ARU36"/>
      <c r="ARV36"/>
      <c r="ARW36"/>
      <c r="ARX36"/>
      <c r="ARY36"/>
      <c r="ARZ36"/>
      <c r="ASA36"/>
      <c r="ASB36"/>
      <c r="ASC36"/>
      <c r="ASD36"/>
      <c r="ASE36"/>
      <c r="ASF36"/>
      <c r="ASG36"/>
      <c r="ASH36"/>
      <c r="ASI36"/>
      <c r="ASJ36"/>
      <c r="ASK36"/>
      <c r="ASL36"/>
      <c r="ASM36"/>
      <c r="ASN36"/>
      <c r="ASO36"/>
      <c r="ASP36"/>
      <c r="ASQ36"/>
      <c r="ASR36"/>
      <c r="ASS36"/>
      <c r="AST36"/>
      <c r="ASU36"/>
      <c r="ASV36"/>
      <c r="ASW36"/>
      <c r="ASX36"/>
      <c r="ASY36"/>
      <c r="ASZ36"/>
      <c r="ATA36"/>
      <c r="ATB36"/>
      <c r="ATC36"/>
      <c r="ATD36"/>
      <c r="ATE36"/>
      <c r="ATF36"/>
      <c r="ATG36"/>
      <c r="ATH36"/>
      <c r="ATI36"/>
      <c r="ATJ36"/>
      <c r="ATK36"/>
      <c r="ATL36"/>
      <c r="ATM36"/>
      <c r="ATN36"/>
      <c r="ATO36"/>
      <c r="ATP36"/>
      <c r="ATQ36"/>
      <c r="ATR36"/>
      <c r="ATS36"/>
      <c r="ATT36"/>
      <c r="ATU36"/>
      <c r="ATV36"/>
      <c r="ATW36"/>
      <c r="ATX36"/>
      <c r="ATY36"/>
      <c r="ATZ36"/>
      <c r="AUA36"/>
      <c r="AUB36"/>
      <c r="AUC36"/>
      <c r="AUD36"/>
      <c r="AUE36"/>
      <c r="AUF36"/>
      <c r="AUG36"/>
      <c r="AUH36"/>
      <c r="AUI36"/>
      <c r="AUJ36"/>
      <c r="AUK36"/>
      <c r="AUL36"/>
      <c r="AUM36"/>
      <c r="AUN36"/>
      <c r="AUO36"/>
      <c r="AUP36"/>
      <c r="AUQ36"/>
      <c r="AUR36"/>
      <c r="AUS36"/>
      <c r="AUT36"/>
      <c r="AUU36"/>
      <c r="AUV36"/>
      <c r="AUW36"/>
      <c r="AUX36"/>
      <c r="AUY36"/>
      <c r="AUZ36"/>
      <c r="AVA36"/>
      <c r="AVB36"/>
      <c r="AVC36"/>
      <c r="AVD36"/>
      <c r="AVE36"/>
      <c r="AVF36"/>
      <c r="AVG36"/>
      <c r="AVH36"/>
      <c r="AVI36"/>
      <c r="AVJ36"/>
      <c r="AVK36"/>
      <c r="AVL36"/>
      <c r="AVM36"/>
      <c r="AVN36"/>
      <c r="AVO36"/>
      <c r="AVP36"/>
      <c r="AVQ36"/>
      <c r="AVR36"/>
      <c r="AVS36"/>
      <c r="AVT36"/>
      <c r="AVU36"/>
      <c r="AVV36"/>
      <c r="AVW36"/>
      <c r="AVX36"/>
      <c r="AVY36"/>
      <c r="AVZ36"/>
      <c r="AWA36"/>
      <c r="AWB36"/>
      <c r="AWC36"/>
      <c r="AWD36"/>
      <c r="AWE36"/>
      <c r="AWF36"/>
      <c r="AWG36"/>
      <c r="AWH36"/>
      <c r="AWI36"/>
      <c r="AWJ36"/>
      <c r="AWK36"/>
      <c r="AWL36"/>
      <c r="AWM36"/>
      <c r="AWN36"/>
      <c r="AWO36"/>
      <c r="AWP36"/>
      <c r="AWQ36"/>
      <c r="AWR36"/>
      <c r="AWS36"/>
      <c r="AWT36"/>
      <c r="AWU36"/>
      <c r="AWV36"/>
      <c r="AWW36"/>
      <c r="AWX36"/>
      <c r="AWY36"/>
      <c r="AWZ36"/>
      <c r="AXA36"/>
      <c r="AXB36"/>
      <c r="AXC36"/>
      <c r="AXD36"/>
      <c r="AXE36"/>
      <c r="AXF36"/>
      <c r="AXG36"/>
      <c r="AXH36"/>
      <c r="AXI36"/>
      <c r="AXJ36"/>
      <c r="AXK36"/>
      <c r="AXL36"/>
      <c r="AXM36"/>
      <c r="AXN36"/>
      <c r="AXO36"/>
      <c r="AXP36"/>
      <c r="AXQ36"/>
      <c r="AXR36"/>
      <c r="AXS36"/>
      <c r="AXT36"/>
      <c r="AXU36"/>
      <c r="AXV36"/>
      <c r="AXW36"/>
      <c r="AXX36"/>
      <c r="AXY36"/>
      <c r="AXZ36"/>
      <c r="AYA36"/>
      <c r="AYB36"/>
      <c r="AYC36"/>
      <c r="AYD36"/>
      <c r="AYE36"/>
      <c r="AYF36"/>
      <c r="AYG36"/>
      <c r="AYH36"/>
      <c r="AYI36"/>
      <c r="AYJ36"/>
      <c r="AYK36"/>
      <c r="AYL36"/>
      <c r="AYM36"/>
      <c r="AYN36"/>
      <c r="AYO36"/>
      <c r="AYP36"/>
      <c r="AYQ36"/>
      <c r="AYR36"/>
      <c r="AYS36"/>
      <c r="AYT36"/>
      <c r="AYU36"/>
      <c r="AYV36"/>
      <c r="AYW36"/>
      <c r="AYX36"/>
      <c r="AYY36"/>
      <c r="AYZ36"/>
      <c r="AZA36"/>
      <c r="AZB36"/>
      <c r="AZC36"/>
      <c r="AZD36"/>
      <c r="AZE36"/>
      <c r="AZF36"/>
      <c r="AZG36"/>
      <c r="AZH36"/>
      <c r="AZI36"/>
      <c r="AZJ36"/>
      <c r="AZK36"/>
      <c r="AZL36"/>
      <c r="AZM36"/>
      <c r="AZN36"/>
      <c r="AZO36"/>
      <c r="AZP36"/>
      <c r="AZQ36"/>
      <c r="AZR36"/>
      <c r="AZS36"/>
      <c r="AZT36"/>
      <c r="AZU36"/>
      <c r="AZV36"/>
      <c r="AZW36"/>
      <c r="AZX36"/>
      <c r="AZY36"/>
      <c r="AZZ36"/>
      <c r="BAA36"/>
      <c r="BAB36"/>
      <c r="BAC36"/>
      <c r="BAD36"/>
      <c r="BAE36"/>
      <c r="BAF36"/>
      <c r="BAG36"/>
      <c r="BAH36"/>
      <c r="BAI36"/>
      <c r="BAJ36"/>
      <c r="BAK36"/>
      <c r="BAL36"/>
      <c r="BAM36"/>
      <c r="BAN36"/>
      <c r="BAO36"/>
      <c r="BAP36"/>
      <c r="BAQ36"/>
      <c r="BAR36"/>
      <c r="BAS36"/>
      <c r="BAT36"/>
      <c r="BAU36"/>
      <c r="BAV36"/>
      <c r="BAW36"/>
      <c r="BAX36"/>
      <c r="BAY36"/>
      <c r="BAZ36"/>
      <c r="BBA36"/>
      <c r="BBB36"/>
      <c r="BBC36"/>
      <c r="BBD36"/>
      <c r="BBE36"/>
      <c r="BBF36"/>
      <c r="BBG36"/>
      <c r="BBH36"/>
      <c r="BBI36"/>
      <c r="BBJ36"/>
      <c r="BBK36"/>
      <c r="BBL36"/>
      <c r="BBM36"/>
      <c r="BBN36"/>
      <c r="BBO36"/>
      <c r="BBP36"/>
      <c r="BBQ36"/>
      <c r="BBR36"/>
      <c r="BBS36"/>
      <c r="BBT36"/>
      <c r="BBU36"/>
      <c r="BBV36"/>
      <c r="BBW36"/>
      <c r="BBX36"/>
      <c r="BBY36"/>
      <c r="BBZ36"/>
      <c r="BCA36"/>
      <c r="BCB36"/>
      <c r="BCC36"/>
      <c r="BCD36"/>
      <c r="BCE36"/>
      <c r="BCF36"/>
      <c r="BCG36"/>
      <c r="BCH36"/>
      <c r="BCI36"/>
      <c r="BCJ36"/>
      <c r="BCK36"/>
      <c r="BCL36"/>
      <c r="BCM36"/>
      <c r="BCN36"/>
      <c r="BCO36"/>
      <c r="BCP36"/>
      <c r="BCQ36"/>
      <c r="BCR36"/>
      <c r="BCS36"/>
      <c r="BCT36"/>
      <c r="BCU36"/>
      <c r="BCV36"/>
      <c r="BCW36"/>
      <c r="BCX36"/>
      <c r="BCY36"/>
      <c r="BCZ36"/>
      <c r="BDA36"/>
      <c r="BDB36"/>
      <c r="BDC36"/>
      <c r="BDD36"/>
      <c r="BDE36"/>
      <c r="BDF36"/>
      <c r="BDG36"/>
      <c r="BDH36"/>
      <c r="BDI36"/>
      <c r="BDJ36"/>
      <c r="BDK36"/>
      <c r="BDL36"/>
      <c r="BDM36"/>
      <c r="BDN36"/>
      <c r="BDO36"/>
      <c r="BDP36"/>
      <c r="BDQ36"/>
      <c r="BDR36"/>
      <c r="BDS36"/>
      <c r="BDT36"/>
      <c r="BDU36"/>
      <c r="BDV36"/>
      <c r="BDW36"/>
      <c r="BDX36"/>
      <c r="BDY36"/>
      <c r="BDZ36"/>
      <c r="BEA36"/>
      <c r="BEB36"/>
      <c r="BEC36"/>
      <c r="BED36"/>
      <c r="BEE36"/>
      <c r="BEF36"/>
      <c r="BEG36"/>
      <c r="BEH36"/>
      <c r="BEI36"/>
      <c r="BEJ36"/>
      <c r="BEK36"/>
      <c r="BEL36"/>
      <c r="BEM36"/>
      <c r="BEN36"/>
      <c r="BEO36"/>
      <c r="BEP36"/>
      <c r="BEQ36"/>
      <c r="BER36"/>
      <c r="BES36"/>
      <c r="BET36"/>
      <c r="BEU36"/>
      <c r="BEV36"/>
      <c r="BEW36"/>
      <c r="BEX36"/>
      <c r="BEY36"/>
      <c r="BEZ36"/>
      <c r="BFA36"/>
      <c r="BFB36"/>
      <c r="BFC36"/>
      <c r="BFD36"/>
      <c r="BFE36"/>
      <c r="BFF36"/>
      <c r="BFG36"/>
      <c r="BFH36"/>
      <c r="BFI36"/>
      <c r="BFJ36"/>
      <c r="BFK36"/>
      <c r="BFL36"/>
      <c r="BFM36"/>
      <c r="BFN36"/>
      <c r="BFO36"/>
      <c r="BFP36"/>
      <c r="BFQ36"/>
      <c r="BFR36"/>
      <c r="BFS36"/>
      <c r="BFT36"/>
      <c r="BFU36"/>
      <c r="BFV36"/>
      <c r="BFW36"/>
      <c r="BFX36"/>
      <c r="BFY36"/>
      <c r="BFZ36"/>
      <c r="BGA36"/>
      <c r="BGB36"/>
      <c r="BGC36"/>
      <c r="BGD36"/>
      <c r="BGE36"/>
      <c r="BGF36"/>
      <c r="BGG36"/>
      <c r="BGH36"/>
      <c r="BGI36"/>
      <c r="BGJ36"/>
      <c r="BGK36"/>
      <c r="BGL36"/>
      <c r="BGM36"/>
      <c r="BGN36"/>
      <c r="BGO36"/>
      <c r="BGP36"/>
      <c r="BGQ36"/>
      <c r="BGR36"/>
      <c r="BGS36"/>
      <c r="BGT36"/>
      <c r="BGU36"/>
      <c r="BGV36"/>
      <c r="BGW36"/>
      <c r="BGX36"/>
      <c r="BGY36"/>
      <c r="BGZ36"/>
      <c r="BHA36"/>
      <c r="BHB36"/>
      <c r="BHC36"/>
      <c r="BHD36"/>
      <c r="BHE36"/>
      <c r="BHF36"/>
      <c r="BHG36"/>
      <c r="BHH36"/>
      <c r="BHI36"/>
      <c r="BHJ36"/>
      <c r="BHK36"/>
      <c r="BHL36"/>
      <c r="BHM36"/>
      <c r="BHN36"/>
      <c r="BHO36"/>
      <c r="BHP36"/>
      <c r="BHQ36"/>
      <c r="BHR36"/>
      <c r="BHS36"/>
      <c r="BHT36"/>
      <c r="BHU36"/>
      <c r="BHV36"/>
      <c r="BHW36"/>
      <c r="BHX36"/>
      <c r="BHY36"/>
      <c r="BHZ36"/>
      <c r="BIA36"/>
      <c r="BIB36"/>
      <c r="BIC36"/>
      <c r="BID36"/>
      <c r="BIE36"/>
      <c r="BIF36"/>
      <c r="BIG36"/>
      <c r="BIH36"/>
      <c r="BII36"/>
      <c r="BIJ36"/>
      <c r="BIK36"/>
      <c r="BIL36"/>
      <c r="BIM36"/>
      <c r="BIN36"/>
      <c r="BIO36"/>
      <c r="BIP36"/>
      <c r="BIQ36"/>
      <c r="BIR36"/>
      <c r="BIS36"/>
      <c r="BIT36"/>
      <c r="BIU36"/>
      <c r="BIV36"/>
      <c r="BIW36"/>
      <c r="BIX36"/>
      <c r="BIY36"/>
      <c r="BIZ36"/>
      <c r="BJA36"/>
      <c r="BJB36"/>
      <c r="BJC36"/>
      <c r="BJD36"/>
      <c r="BJE36"/>
      <c r="BJF36"/>
      <c r="BJG36"/>
      <c r="BJH36"/>
      <c r="BJI36"/>
      <c r="BJJ36"/>
      <c r="BJK36"/>
      <c r="BJL36"/>
      <c r="BJM36"/>
      <c r="BJN36"/>
      <c r="BJO36"/>
      <c r="BJP36"/>
      <c r="BJQ36"/>
      <c r="BJR36"/>
      <c r="BJS36"/>
      <c r="BJT36"/>
      <c r="BJU36"/>
      <c r="BJV36"/>
      <c r="BJW36"/>
      <c r="BJX36"/>
      <c r="BJY36"/>
      <c r="BJZ36"/>
      <c r="BKA36"/>
      <c r="BKB36"/>
      <c r="BKC36"/>
      <c r="BKD36"/>
      <c r="BKE36"/>
      <c r="BKF36"/>
      <c r="BKG36"/>
      <c r="BKH36"/>
      <c r="BKI36"/>
      <c r="BKJ36"/>
      <c r="BKK36"/>
      <c r="BKL36"/>
      <c r="BKM36"/>
      <c r="BKN36"/>
      <c r="BKO36"/>
      <c r="BKP36"/>
      <c r="BKQ36"/>
      <c r="BKR36"/>
      <c r="BKS36"/>
      <c r="BKT36"/>
      <c r="BKU36"/>
      <c r="BKV36"/>
      <c r="BKW36"/>
      <c r="BKX36"/>
      <c r="BKY36"/>
      <c r="BKZ36"/>
      <c r="BLA36"/>
      <c r="BLB36"/>
      <c r="BLC36"/>
      <c r="BLD36"/>
      <c r="BLE36"/>
      <c r="BLF36"/>
      <c r="BLG36"/>
      <c r="BLH36"/>
      <c r="BLI36"/>
      <c r="BLJ36"/>
      <c r="BLK36"/>
      <c r="BLL36"/>
      <c r="BLM36"/>
      <c r="BLN36"/>
      <c r="BLO36"/>
      <c r="BLP36"/>
      <c r="BLQ36"/>
      <c r="BLR36"/>
      <c r="BLS36"/>
      <c r="BLT36"/>
      <c r="BLU36"/>
      <c r="BLV36"/>
      <c r="BLW36"/>
      <c r="BLX36"/>
      <c r="BLY36"/>
      <c r="BLZ36"/>
      <c r="BMA36"/>
      <c r="BMB36"/>
      <c r="BMC36"/>
      <c r="BMD36"/>
      <c r="BME36"/>
      <c r="BMF36"/>
      <c r="BMG36"/>
      <c r="BMH36"/>
      <c r="BMI36"/>
      <c r="BMJ36"/>
      <c r="BMK36"/>
      <c r="BML36"/>
      <c r="BMM36"/>
      <c r="BMN36"/>
      <c r="BMO36"/>
      <c r="BMP36"/>
      <c r="BMQ36"/>
      <c r="BMR36"/>
      <c r="BMS36"/>
      <c r="BMT36"/>
      <c r="BMU36"/>
      <c r="BMV36"/>
      <c r="BMW36"/>
      <c r="BMX36"/>
      <c r="BMY36"/>
      <c r="BMZ36"/>
      <c r="BNA36"/>
      <c r="BNB36"/>
      <c r="BNC36"/>
      <c r="BND36"/>
      <c r="BNE36"/>
      <c r="BNF36"/>
      <c r="BNG36"/>
      <c r="BNH36"/>
      <c r="BNI36"/>
      <c r="BNJ36"/>
      <c r="BNK36"/>
      <c r="BNL36"/>
      <c r="BNM36"/>
      <c r="BNN36"/>
      <c r="BNO36"/>
      <c r="BNP36"/>
      <c r="BNQ36"/>
      <c r="BNR36"/>
      <c r="BNS36"/>
      <c r="BNT36"/>
      <c r="BNU36"/>
      <c r="BNV36"/>
      <c r="BNW36"/>
      <c r="BNX36"/>
      <c r="BNY36"/>
      <c r="BNZ36"/>
      <c r="BOA36"/>
      <c r="BOB36"/>
      <c r="BOC36"/>
      <c r="BOD36"/>
      <c r="BOE36"/>
      <c r="BOF36"/>
      <c r="BOG36"/>
      <c r="BOH36"/>
      <c r="BOI36"/>
      <c r="BOJ36"/>
      <c r="BOK36"/>
      <c r="BOL36"/>
      <c r="BOM36"/>
      <c r="BON36"/>
      <c r="BOO36"/>
      <c r="BOP36"/>
      <c r="BOQ36"/>
      <c r="BOR36"/>
      <c r="BOS36"/>
      <c r="BOT36"/>
      <c r="BOU36"/>
      <c r="BOV36"/>
      <c r="BOW36"/>
      <c r="BOX36"/>
      <c r="BOY36"/>
      <c r="BOZ36"/>
      <c r="BPA36"/>
      <c r="BPB36"/>
      <c r="BPC36"/>
      <c r="BPD36"/>
      <c r="BPE36"/>
      <c r="BPF36"/>
      <c r="BPG36"/>
      <c r="BPH36"/>
      <c r="BPI36"/>
      <c r="BPJ36"/>
      <c r="BPK36"/>
      <c r="BPL36"/>
      <c r="BPM36"/>
      <c r="BPN36"/>
      <c r="BPO36"/>
      <c r="BPP36"/>
      <c r="BPQ36"/>
      <c r="BPR36"/>
      <c r="BPS36"/>
      <c r="BPT36"/>
      <c r="BPU36"/>
      <c r="BPV36"/>
      <c r="BPW36"/>
      <c r="BPX36"/>
      <c r="BPY36"/>
      <c r="BPZ36"/>
      <c r="BQA36"/>
      <c r="BQB36"/>
      <c r="BQC36"/>
      <c r="BQD36"/>
      <c r="BQE36"/>
      <c r="BQF36"/>
      <c r="BQG36"/>
      <c r="BQH36"/>
      <c r="BQI36"/>
      <c r="BQJ36"/>
      <c r="BQK36"/>
      <c r="BQL36"/>
      <c r="BQM36"/>
      <c r="BQN36"/>
      <c r="BQO36"/>
      <c r="BQP36"/>
      <c r="BQQ36"/>
      <c r="BQR36"/>
      <c r="BQS36"/>
      <c r="BQT36"/>
      <c r="BQU36"/>
      <c r="BQV36"/>
      <c r="BQW36"/>
      <c r="BQX36"/>
      <c r="BQY36"/>
      <c r="BQZ36"/>
      <c r="BRA36"/>
      <c r="BRB36"/>
      <c r="BRC36"/>
      <c r="BRD36"/>
      <c r="BRE36"/>
      <c r="BRF36"/>
      <c r="BRG36"/>
      <c r="BRH36"/>
      <c r="BRI36"/>
      <c r="BRJ36"/>
      <c r="BRK36"/>
      <c r="BRL36"/>
      <c r="BRM36"/>
      <c r="BRN36"/>
      <c r="BRO36"/>
      <c r="BRP36"/>
      <c r="BRQ36"/>
      <c r="BRR36"/>
      <c r="BRS36"/>
      <c r="BRT36"/>
      <c r="BRU36"/>
      <c r="BRV36"/>
      <c r="BRW36"/>
      <c r="BRX36"/>
      <c r="BRY36"/>
      <c r="BRZ36"/>
      <c r="BSA36"/>
      <c r="BSB36"/>
      <c r="BSC36"/>
      <c r="BSD36"/>
      <c r="BSE36"/>
      <c r="BSF36"/>
      <c r="BSG36"/>
      <c r="BSH36"/>
      <c r="BSI36"/>
      <c r="BSJ36"/>
      <c r="BSK36"/>
      <c r="BSL36"/>
      <c r="BSM36"/>
      <c r="BSN36"/>
      <c r="BSO36"/>
      <c r="BSP36"/>
      <c r="BSQ36"/>
      <c r="BSR36"/>
      <c r="BSS36"/>
      <c r="BST36"/>
      <c r="BSU36"/>
      <c r="BSV36"/>
      <c r="BSW36"/>
      <c r="BSX36"/>
      <c r="BSY36"/>
      <c r="BSZ36"/>
      <c r="BTA36"/>
      <c r="BTB36"/>
      <c r="BTC36"/>
      <c r="BTD36"/>
      <c r="BTE36"/>
      <c r="BTF36"/>
      <c r="BTG36"/>
      <c r="BTH36"/>
      <c r="BTI36"/>
      <c r="BTJ36"/>
      <c r="BTK36"/>
      <c r="BTL36"/>
      <c r="BTM36"/>
      <c r="BTN36"/>
      <c r="BTO36"/>
      <c r="BTP36"/>
      <c r="BTQ36"/>
      <c r="BTR36"/>
      <c r="BTS36"/>
      <c r="BTT36"/>
      <c r="BTU36"/>
      <c r="BTV36"/>
      <c r="BTW36"/>
      <c r="BTX36"/>
      <c r="BTY36"/>
      <c r="BTZ36"/>
      <c r="BUA36"/>
      <c r="BUB36"/>
      <c r="BUC36"/>
      <c r="BUD36"/>
      <c r="BUE36"/>
      <c r="BUF36"/>
      <c r="BUG36"/>
      <c r="BUH36"/>
      <c r="BUI36"/>
      <c r="BUJ36"/>
      <c r="BUK36"/>
      <c r="BUL36"/>
      <c r="BUM36"/>
      <c r="BUN36"/>
      <c r="BUO36"/>
      <c r="BUP36"/>
      <c r="BUQ36"/>
      <c r="BUR36"/>
      <c r="BUS36"/>
      <c r="BUT36"/>
      <c r="BUU36"/>
      <c r="BUV36"/>
      <c r="BUW36"/>
      <c r="BUX36"/>
      <c r="BUY36"/>
      <c r="BUZ36"/>
      <c r="BVA36"/>
      <c r="BVB36"/>
      <c r="BVC36"/>
      <c r="BVD36"/>
      <c r="BVE36"/>
      <c r="BVF36"/>
      <c r="BVG36"/>
      <c r="BVH36"/>
      <c r="BVI36"/>
      <c r="BVJ36"/>
      <c r="BVK36"/>
      <c r="BVL36"/>
      <c r="BVM36"/>
      <c r="BVN36"/>
      <c r="BVO36"/>
      <c r="BVP36"/>
      <c r="BVQ36"/>
      <c r="BVR36"/>
      <c r="BVS36"/>
      <c r="BVT36"/>
      <c r="BVU36"/>
      <c r="BVV36"/>
      <c r="BVW36"/>
      <c r="BVX36"/>
      <c r="BVY36"/>
      <c r="BVZ36"/>
      <c r="BWA36"/>
      <c r="BWB36"/>
      <c r="BWC36"/>
      <c r="BWD36"/>
      <c r="BWE36"/>
      <c r="BWF36"/>
      <c r="BWG36"/>
      <c r="BWH36"/>
      <c r="BWI36"/>
      <c r="BWJ36"/>
      <c r="BWK36"/>
      <c r="BWL36"/>
      <c r="BWM36"/>
      <c r="BWN36"/>
      <c r="BWO36"/>
      <c r="BWP36"/>
      <c r="BWQ36"/>
      <c r="BWR36"/>
      <c r="BWS36"/>
      <c r="BWT36"/>
      <c r="BWU36"/>
      <c r="BWV36"/>
      <c r="BWW36"/>
      <c r="BWX36"/>
      <c r="BWY36"/>
      <c r="BWZ36"/>
      <c r="BXA36"/>
      <c r="BXB36"/>
      <c r="BXC36"/>
      <c r="BXD36"/>
      <c r="BXE36"/>
      <c r="BXF36"/>
      <c r="BXG36"/>
      <c r="BXH36"/>
      <c r="BXI36"/>
      <c r="BXJ36"/>
      <c r="BXK36"/>
      <c r="BXL36"/>
      <c r="BXM36"/>
      <c r="BXN36"/>
      <c r="BXO36"/>
      <c r="BXP36"/>
      <c r="BXQ36"/>
      <c r="BXR36"/>
      <c r="BXS36"/>
      <c r="BXT36"/>
      <c r="BXU36"/>
      <c r="BXV36"/>
      <c r="BXW36"/>
      <c r="BXX36"/>
      <c r="BXY36"/>
      <c r="BXZ36"/>
      <c r="BYA36"/>
      <c r="BYB36"/>
      <c r="BYC36"/>
      <c r="BYD36"/>
      <c r="BYE36"/>
      <c r="BYF36"/>
      <c r="BYG36"/>
      <c r="BYH36"/>
      <c r="BYI36"/>
      <c r="BYJ36"/>
      <c r="BYK36"/>
      <c r="BYL36"/>
      <c r="BYM36"/>
      <c r="BYN36"/>
      <c r="BYO36"/>
      <c r="BYP36"/>
      <c r="BYQ36"/>
      <c r="BYR36"/>
      <c r="BYS36"/>
      <c r="BYT36"/>
      <c r="BYU36"/>
      <c r="BYV36"/>
      <c r="BYW36"/>
      <c r="BYX36"/>
      <c r="BYY36"/>
      <c r="BYZ36"/>
      <c r="BZA36"/>
      <c r="BZB36"/>
      <c r="BZC36"/>
      <c r="BZD36"/>
      <c r="BZE36"/>
      <c r="BZF36"/>
      <c r="BZG36"/>
      <c r="BZH36"/>
      <c r="BZI36"/>
      <c r="BZJ36"/>
      <c r="BZK36"/>
      <c r="BZL36"/>
      <c r="BZM36"/>
      <c r="BZN36"/>
      <c r="BZO36"/>
      <c r="BZP36"/>
      <c r="BZQ36"/>
      <c r="BZR36"/>
      <c r="BZS36"/>
      <c r="BZT36"/>
      <c r="BZU36"/>
      <c r="BZV36"/>
      <c r="BZW36"/>
      <c r="BZX36"/>
      <c r="BZY36"/>
      <c r="BZZ36"/>
      <c r="CAA36"/>
      <c r="CAB36"/>
      <c r="CAC36"/>
      <c r="CAD36"/>
      <c r="CAE36"/>
      <c r="CAF36"/>
      <c r="CAG36"/>
      <c r="CAH36"/>
      <c r="CAI36"/>
      <c r="CAJ36"/>
      <c r="CAK36"/>
      <c r="CAL36"/>
      <c r="CAM36"/>
      <c r="CAN36"/>
      <c r="CAO36"/>
      <c r="CAP36"/>
      <c r="CAQ36"/>
      <c r="CAR36"/>
      <c r="CAS36"/>
      <c r="CAT36"/>
      <c r="CAU36"/>
      <c r="CAV36"/>
      <c r="CAW36"/>
      <c r="CAX36"/>
      <c r="CAY36"/>
      <c r="CAZ36"/>
      <c r="CBA36"/>
      <c r="CBB36"/>
      <c r="CBC36"/>
      <c r="CBD36"/>
      <c r="CBE36"/>
      <c r="CBF36"/>
      <c r="CBG36"/>
      <c r="CBH36"/>
      <c r="CBI36"/>
      <c r="CBJ36"/>
      <c r="CBK36"/>
      <c r="CBL36"/>
      <c r="CBM36"/>
      <c r="CBN36"/>
      <c r="CBO36"/>
      <c r="CBP36"/>
      <c r="CBQ36"/>
      <c r="CBR36"/>
      <c r="CBS36"/>
      <c r="CBT36"/>
      <c r="CBU36"/>
      <c r="CBV36"/>
      <c r="CBW36"/>
      <c r="CBX36"/>
      <c r="CBY36"/>
      <c r="CBZ36"/>
      <c r="CCA36"/>
      <c r="CCB36"/>
      <c r="CCC36"/>
      <c r="CCD36"/>
      <c r="CCE36"/>
      <c r="CCF36"/>
      <c r="CCG36"/>
      <c r="CCH36"/>
      <c r="CCI36"/>
      <c r="CCJ36"/>
      <c r="CCK36"/>
      <c r="CCL36"/>
      <c r="CCM36"/>
      <c r="CCN36"/>
      <c r="CCO36"/>
      <c r="CCP36"/>
      <c r="CCQ36"/>
      <c r="CCR36"/>
      <c r="CCS36"/>
      <c r="CCT36"/>
      <c r="CCU36"/>
      <c r="CCV36"/>
      <c r="CCW36"/>
      <c r="CCX36"/>
      <c r="CCY36"/>
      <c r="CCZ36"/>
      <c r="CDA36"/>
      <c r="CDB36"/>
      <c r="CDC36"/>
      <c r="CDD36"/>
      <c r="CDE36"/>
      <c r="CDF36"/>
      <c r="CDG36"/>
      <c r="CDH36"/>
      <c r="CDI36"/>
      <c r="CDJ36"/>
      <c r="CDK36"/>
      <c r="CDL36"/>
      <c r="CDM36"/>
      <c r="CDN36"/>
      <c r="CDO36"/>
      <c r="CDP36"/>
      <c r="CDQ36"/>
      <c r="CDR36"/>
      <c r="CDS36"/>
      <c r="CDT36"/>
      <c r="CDU36"/>
      <c r="CDV36"/>
      <c r="CDW36"/>
      <c r="CDX36"/>
      <c r="CDY36"/>
      <c r="CDZ36"/>
      <c r="CEA36"/>
      <c r="CEB36"/>
      <c r="CEC36"/>
      <c r="CED36"/>
      <c r="CEE36"/>
      <c r="CEF36"/>
      <c r="CEG36"/>
      <c r="CEH36"/>
      <c r="CEI36"/>
      <c r="CEJ36"/>
      <c r="CEK36"/>
      <c r="CEL36"/>
      <c r="CEM36"/>
      <c r="CEN36"/>
      <c r="CEO36"/>
      <c r="CEP36"/>
      <c r="CEQ36"/>
      <c r="CER36"/>
      <c r="CES36"/>
      <c r="CET36"/>
      <c r="CEU36"/>
      <c r="CEV36"/>
      <c r="CEW36"/>
      <c r="CEX36"/>
      <c r="CEY36"/>
      <c r="CEZ36"/>
      <c r="CFA36"/>
      <c r="CFB36"/>
      <c r="CFC36"/>
      <c r="CFD36"/>
      <c r="CFE36"/>
      <c r="CFF36"/>
      <c r="CFG36"/>
      <c r="CFH36"/>
      <c r="CFI36"/>
      <c r="CFJ36"/>
      <c r="CFK36"/>
      <c r="CFL36"/>
      <c r="CFM36"/>
      <c r="CFN36"/>
      <c r="CFO36"/>
      <c r="CFP36"/>
      <c r="CFQ36"/>
      <c r="CFR36"/>
      <c r="CFS36"/>
      <c r="CFT36"/>
      <c r="CFU36"/>
      <c r="CFV36"/>
      <c r="CFW36"/>
      <c r="CFX36"/>
      <c r="CFY36"/>
      <c r="CFZ36"/>
      <c r="CGA36"/>
      <c r="CGB36"/>
      <c r="CGC36"/>
      <c r="CGD36"/>
      <c r="CGE36"/>
      <c r="CGF36"/>
      <c r="CGG36"/>
      <c r="CGH36"/>
      <c r="CGI36"/>
      <c r="CGJ36"/>
      <c r="CGK36"/>
      <c r="CGL36"/>
      <c r="CGM36"/>
      <c r="CGN36"/>
      <c r="CGO36"/>
      <c r="CGP36"/>
      <c r="CGQ36"/>
      <c r="CGR36"/>
      <c r="CGS36"/>
      <c r="CGT36"/>
      <c r="CGU36"/>
      <c r="CGV36"/>
      <c r="CGW36"/>
      <c r="CGX36"/>
      <c r="CGY36"/>
      <c r="CGZ36"/>
      <c r="CHA36"/>
      <c r="CHB36"/>
      <c r="CHC36"/>
      <c r="CHD36"/>
      <c r="CHE36"/>
      <c r="CHF36"/>
      <c r="CHG36"/>
      <c r="CHH36"/>
      <c r="CHI36"/>
      <c r="CHJ36"/>
      <c r="CHK36"/>
      <c r="CHL36"/>
      <c r="CHM36"/>
      <c r="CHN36"/>
      <c r="CHO36"/>
      <c r="CHP36"/>
      <c r="CHQ36"/>
      <c r="CHR36"/>
      <c r="CHS36"/>
      <c r="CHT36"/>
      <c r="CHU36"/>
      <c r="CHV36"/>
      <c r="CHW36"/>
      <c r="CHX36"/>
      <c r="CHY36"/>
      <c r="CHZ36"/>
      <c r="CIA36"/>
      <c r="CIB36"/>
      <c r="CIC36"/>
      <c r="CID36"/>
      <c r="CIE36"/>
      <c r="CIF36"/>
      <c r="CIG36"/>
      <c r="CIH36"/>
      <c r="CII36"/>
      <c r="CIJ36"/>
      <c r="CIK36"/>
      <c r="CIL36"/>
      <c r="CIM36"/>
      <c r="CIN36"/>
      <c r="CIO36"/>
      <c r="CIP36"/>
      <c r="CIQ36"/>
      <c r="CIR36"/>
      <c r="CIS36"/>
      <c r="CIT36"/>
      <c r="CIU36"/>
      <c r="CIV36"/>
      <c r="CIW36"/>
      <c r="CIX36"/>
      <c r="CIY36"/>
      <c r="CIZ36"/>
      <c r="CJA36"/>
      <c r="CJB36"/>
      <c r="CJC36"/>
      <c r="CJD36"/>
      <c r="CJE36"/>
      <c r="CJF36"/>
      <c r="CJG36"/>
      <c r="CJH36"/>
      <c r="CJI36"/>
      <c r="CJJ36"/>
      <c r="CJK36"/>
      <c r="CJL36"/>
      <c r="CJM36"/>
      <c r="CJN36"/>
      <c r="CJO36"/>
      <c r="CJP36"/>
      <c r="CJQ36"/>
      <c r="CJR36"/>
      <c r="CJS36"/>
      <c r="CJT36"/>
      <c r="CJU36"/>
      <c r="CJV36"/>
      <c r="CJW36"/>
      <c r="CJX36"/>
      <c r="CJY36"/>
      <c r="CJZ36"/>
      <c r="CKA36"/>
      <c r="CKB36"/>
      <c r="CKC36"/>
      <c r="CKD36"/>
      <c r="CKE36"/>
      <c r="CKF36"/>
      <c r="CKG36"/>
      <c r="CKH36"/>
      <c r="CKI36"/>
      <c r="CKJ36"/>
      <c r="CKK36"/>
      <c r="CKL36"/>
      <c r="CKM36"/>
      <c r="CKN36"/>
      <c r="CKO36"/>
      <c r="CKP36"/>
      <c r="CKQ36"/>
      <c r="CKR36"/>
      <c r="CKS36"/>
      <c r="CKT36"/>
      <c r="CKU36"/>
      <c r="CKV36"/>
      <c r="CKW36"/>
      <c r="CKX36"/>
      <c r="CKY36"/>
      <c r="CKZ36"/>
      <c r="CLA36"/>
      <c r="CLB36"/>
      <c r="CLC36"/>
      <c r="CLD36"/>
      <c r="CLE36"/>
      <c r="CLF36"/>
      <c r="CLG36"/>
      <c r="CLH36"/>
      <c r="CLI36"/>
      <c r="CLJ36"/>
      <c r="CLK36"/>
      <c r="CLL36"/>
      <c r="CLM36"/>
      <c r="CLN36"/>
      <c r="CLO36"/>
      <c r="CLP36"/>
      <c r="CLQ36"/>
      <c r="CLR36"/>
      <c r="CLS36"/>
      <c r="CLT36"/>
      <c r="CLU36"/>
      <c r="CLV36"/>
      <c r="CLW36"/>
      <c r="CLX36"/>
      <c r="CLY36"/>
      <c r="CLZ36"/>
      <c r="CMA36"/>
      <c r="CMB36"/>
      <c r="CMC36"/>
      <c r="CMD36"/>
      <c r="CME36"/>
      <c r="CMF36"/>
      <c r="CMG36"/>
      <c r="CMH36"/>
      <c r="CMI36"/>
      <c r="CMJ36"/>
      <c r="CMK36"/>
      <c r="CML36"/>
      <c r="CMM36"/>
      <c r="CMN36"/>
      <c r="CMO36"/>
      <c r="CMP36"/>
      <c r="CMQ36"/>
      <c r="CMR36"/>
      <c r="CMS36"/>
      <c r="CMT36"/>
      <c r="CMU36"/>
      <c r="CMV36"/>
      <c r="CMW36"/>
      <c r="CMX36"/>
      <c r="CMY36"/>
      <c r="CMZ36"/>
      <c r="CNA36"/>
      <c r="CNB36"/>
      <c r="CNC36"/>
      <c r="CND36"/>
      <c r="CNE36"/>
      <c r="CNF36"/>
      <c r="CNG36"/>
      <c r="CNH36"/>
      <c r="CNI36"/>
      <c r="CNJ36"/>
      <c r="CNK36"/>
      <c r="CNL36"/>
      <c r="CNM36"/>
      <c r="CNN36"/>
      <c r="CNO36"/>
      <c r="CNP36"/>
      <c r="CNQ36"/>
      <c r="CNR36"/>
      <c r="CNS36"/>
      <c r="CNT36"/>
      <c r="CNU36"/>
      <c r="CNV36"/>
      <c r="CNW36"/>
      <c r="CNX36"/>
      <c r="CNY36"/>
      <c r="CNZ36"/>
      <c r="COA36"/>
      <c r="COB36"/>
      <c r="COC36"/>
      <c r="COD36"/>
      <c r="COE36"/>
      <c r="COF36"/>
      <c r="COG36"/>
      <c r="COH36"/>
      <c r="COI36"/>
      <c r="COJ36"/>
      <c r="COK36"/>
      <c r="COL36"/>
      <c r="COM36"/>
      <c r="CON36"/>
      <c r="COO36"/>
      <c r="COP36"/>
      <c r="COQ36"/>
      <c r="COR36"/>
      <c r="COS36"/>
      <c r="COT36"/>
      <c r="COU36"/>
      <c r="COV36"/>
      <c r="COW36"/>
      <c r="COX36"/>
      <c r="COY36"/>
      <c r="COZ36"/>
      <c r="CPA36"/>
      <c r="CPB36"/>
      <c r="CPC36"/>
      <c r="CPD36"/>
      <c r="CPE36"/>
      <c r="CPF36"/>
      <c r="CPG36"/>
      <c r="CPH36"/>
      <c r="CPI36"/>
      <c r="CPJ36"/>
      <c r="CPK36"/>
      <c r="CPL36"/>
      <c r="CPM36"/>
      <c r="CPN36"/>
      <c r="CPO36"/>
      <c r="CPP36"/>
      <c r="CPQ36"/>
      <c r="CPR36"/>
      <c r="CPS36"/>
      <c r="CPT36"/>
      <c r="CPU36"/>
      <c r="CPV36"/>
      <c r="CPW36"/>
      <c r="CPX36"/>
      <c r="CPY36"/>
      <c r="CPZ36"/>
      <c r="CQA36"/>
      <c r="CQB36"/>
      <c r="CQC36"/>
      <c r="CQD36"/>
      <c r="CQE36"/>
      <c r="CQF36"/>
      <c r="CQG36"/>
      <c r="CQH36"/>
      <c r="CQI36"/>
      <c r="CQJ36"/>
      <c r="CQK36"/>
      <c r="CQL36"/>
      <c r="CQM36"/>
      <c r="CQN36"/>
      <c r="CQO36"/>
      <c r="CQP36"/>
      <c r="CQQ36"/>
      <c r="CQR36"/>
      <c r="CQS36"/>
      <c r="CQT36"/>
      <c r="CQU36"/>
      <c r="CQV36"/>
      <c r="CQW36"/>
      <c r="CQX36"/>
      <c r="CQY36"/>
      <c r="CQZ36"/>
      <c r="CRA36"/>
      <c r="CRB36"/>
      <c r="CRC36"/>
      <c r="CRD36"/>
      <c r="CRE36"/>
      <c r="CRF36"/>
      <c r="CRG36"/>
      <c r="CRH36"/>
      <c r="CRI36"/>
      <c r="CRJ36"/>
      <c r="CRK36"/>
      <c r="CRL36"/>
      <c r="CRM36"/>
      <c r="CRN36"/>
      <c r="CRO36"/>
      <c r="CRP36"/>
      <c r="CRQ36"/>
      <c r="CRR36"/>
      <c r="CRS36"/>
      <c r="CRT36"/>
      <c r="CRU36"/>
      <c r="CRV36"/>
      <c r="CRW36"/>
      <c r="CRX36"/>
      <c r="CRY36"/>
      <c r="CRZ36"/>
      <c r="CSA36"/>
      <c r="CSB36"/>
      <c r="CSC36"/>
      <c r="CSD36"/>
      <c r="CSE36"/>
      <c r="CSF36"/>
      <c r="CSG36"/>
      <c r="CSH36"/>
      <c r="CSI36"/>
      <c r="CSJ36"/>
      <c r="CSK36"/>
      <c r="CSL36"/>
      <c r="CSM36"/>
      <c r="CSN36"/>
      <c r="CSO36"/>
      <c r="CSP36"/>
      <c r="CSQ36"/>
      <c r="CSR36"/>
      <c r="CSS36"/>
      <c r="CST36"/>
      <c r="CSU36"/>
      <c r="CSV36"/>
      <c r="CSW36"/>
      <c r="CSX36"/>
      <c r="CSY36"/>
      <c r="CSZ36"/>
      <c r="CTA36"/>
      <c r="CTB36"/>
      <c r="CTC36"/>
      <c r="CTD36"/>
      <c r="CTE36"/>
      <c r="CTF36"/>
      <c r="CTG36"/>
      <c r="CTH36"/>
      <c r="CTI36"/>
      <c r="CTJ36"/>
      <c r="CTK36"/>
      <c r="CTL36"/>
      <c r="CTM36"/>
      <c r="CTN36"/>
      <c r="CTO36"/>
      <c r="CTP36"/>
      <c r="CTQ36"/>
      <c r="CTR36"/>
      <c r="CTS36"/>
      <c r="CTT36"/>
      <c r="CTU36"/>
      <c r="CTV36"/>
      <c r="CTW36"/>
      <c r="CTX36"/>
      <c r="CTY36"/>
      <c r="CTZ36"/>
      <c r="CUA36"/>
      <c r="CUB36"/>
      <c r="CUC36"/>
      <c r="CUD36"/>
      <c r="CUE36"/>
      <c r="CUF36"/>
      <c r="CUG36"/>
      <c r="CUH36"/>
      <c r="CUI36"/>
      <c r="CUJ36"/>
      <c r="CUK36"/>
      <c r="CUL36"/>
      <c r="CUM36"/>
      <c r="CUN36"/>
      <c r="CUO36"/>
      <c r="CUP36"/>
      <c r="CUQ36"/>
      <c r="CUR36"/>
      <c r="CUS36"/>
      <c r="CUT36"/>
      <c r="CUU36"/>
      <c r="CUV36"/>
      <c r="CUW36"/>
      <c r="CUX36"/>
      <c r="CUY36"/>
      <c r="CUZ36"/>
      <c r="CVA36"/>
      <c r="CVB36"/>
      <c r="CVC36"/>
      <c r="CVD36"/>
      <c r="CVE36"/>
      <c r="CVF36"/>
      <c r="CVG36"/>
      <c r="CVH36"/>
      <c r="CVI36"/>
      <c r="CVJ36"/>
      <c r="CVK36"/>
      <c r="CVL36"/>
      <c r="CVM36"/>
      <c r="CVN36"/>
      <c r="CVO36"/>
      <c r="CVP36"/>
      <c r="CVQ36"/>
      <c r="CVR36"/>
      <c r="CVS36"/>
      <c r="CVT36"/>
      <c r="CVU36"/>
      <c r="CVV36"/>
      <c r="CVW36"/>
      <c r="CVX36"/>
      <c r="CVY36"/>
      <c r="CVZ36"/>
      <c r="CWA36"/>
      <c r="CWB36"/>
      <c r="CWC36"/>
      <c r="CWD36"/>
      <c r="CWE36"/>
      <c r="CWF36"/>
      <c r="CWG36"/>
      <c r="CWH36"/>
      <c r="CWI36"/>
      <c r="CWJ36"/>
      <c r="CWK36"/>
      <c r="CWL36"/>
      <c r="CWM36"/>
      <c r="CWN36"/>
      <c r="CWO36"/>
      <c r="CWP36"/>
      <c r="CWQ36"/>
      <c r="CWR36"/>
      <c r="CWS36"/>
      <c r="CWT36"/>
      <c r="CWU36"/>
      <c r="CWV36"/>
      <c r="CWW36"/>
      <c r="CWX36"/>
      <c r="CWY36"/>
      <c r="CWZ36"/>
      <c r="CXA36"/>
      <c r="CXB36"/>
      <c r="CXC36"/>
      <c r="CXD36"/>
      <c r="CXE36"/>
      <c r="CXF36"/>
      <c r="CXG36"/>
      <c r="CXH36"/>
      <c r="CXI36"/>
      <c r="CXJ36"/>
      <c r="CXK36"/>
      <c r="CXL36"/>
      <c r="CXM36"/>
      <c r="CXN36"/>
      <c r="CXO36"/>
      <c r="CXP36"/>
      <c r="CXQ36"/>
      <c r="CXR36"/>
      <c r="CXS36"/>
      <c r="CXT36"/>
      <c r="CXU36"/>
      <c r="CXV36"/>
      <c r="CXW36"/>
      <c r="CXX36"/>
      <c r="CXY36"/>
      <c r="CXZ36"/>
      <c r="CYA36"/>
      <c r="CYB36"/>
      <c r="CYC36"/>
      <c r="CYD36"/>
      <c r="CYE36"/>
      <c r="CYF36"/>
      <c r="CYG36"/>
      <c r="CYH36"/>
      <c r="CYI36"/>
      <c r="CYJ36"/>
      <c r="CYK36"/>
      <c r="CYL36"/>
      <c r="CYM36"/>
      <c r="CYN36"/>
      <c r="CYO36"/>
      <c r="CYP36"/>
      <c r="CYQ36"/>
      <c r="CYR36"/>
      <c r="CYS36"/>
      <c r="CYT36"/>
      <c r="CYU36"/>
      <c r="CYV36"/>
      <c r="CYW36"/>
      <c r="CYX36"/>
      <c r="CYY36"/>
      <c r="CYZ36"/>
      <c r="CZA36"/>
      <c r="CZB36"/>
      <c r="CZC36"/>
      <c r="CZD36"/>
      <c r="CZE36"/>
      <c r="CZF36"/>
      <c r="CZG36"/>
      <c r="CZH36"/>
      <c r="CZI36"/>
      <c r="CZJ36"/>
      <c r="CZK36"/>
      <c r="CZL36"/>
      <c r="CZM36"/>
      <c r="CZN36"/>
      <c r="CZO36"/>
      <c r="CZP36"/>
      <c r="CZQ36"/>
      <c r="CZR36"/>
      <c r="CZS36"/>
      <c r="CZT36"/>
      <c r="CZU36"/>
      <c r="CZV36"/>
      <c r="CZW36"/>
      <c r="CZX36"/>
      <c r="CZY36"/>
      <c r="CZZ36"/>
      <c r="DAA36"/>
      <c r="DAB36"/>
      <c r="DAC36"/>
      <c r="DAD36"/>
      <c r="DAE36"/>
      <c r="DAF36"/>
      <c r="DAG36"/>
      <c r="DAH36"/>
      <c r="DAI36"/>
      <c r="DAJ36"/>
      <c r="DAK36"/>
      <c r="DAL36"/>
      <c r="DAM36"/>
      <c r="DAN36"/>
      <c r="DAO36"/>
      <c r="DAP36"/>
      <c r="DAQ36"/>
      <c r="DAR36"/>
      <c r="DAS36"/>
      <c r="DAT36"/>
      <c r="DAU36"/>
      <c r="DAV36"/>
      <c r="DAW36"/>
      <c r="DAX36"/>
      <c r="DAY36"/>
      <c r="DAZ36"/>
      <c r="DBA36"/>
      <c r="DBB36"/>
      <c r="DBC36"/>
      <c r="DBD36"/>
      <c r="DBE36"/>
      <c r="DBF36"/>
      <c r="DBG36"/>
      <c r="DBH36"/>
      <c r="DBI36"/>
      <c r="DBJ36"/>
      <c r="DBK36"/>
      <c r="DBL36"/>
      <c r="DBM36"/>
      <c r="DBN36"/>
      <c r="DBO36"/>
      <c r="DBP36"/>
      <c r="DBQ36"/>
      <c r="DBR36"/>
      <c r="DBS36"/>
      <c r="DBT36"/>
      <c r="DBU36"/>
      <c r="DBV36"/>
      <c r="DBW36"/>
      <c r="DBX36"/>
      <c r="DBY36"/>
      <c r="DBZ36"/>
      <c r="DCA36"/>
      <c r="DCB36"/>
      <c r="DCC36"/>
      <c r="DCD36"/>
      <c r="DCE36"/>
      <c r="DCF36"/>
      <c r="DCG36"/>
      <c r="DCH36"/>
      <c r="DCI36"/>
      <c r="DCJ36"/>
      <c r="DCK36"/>
      <c r="DCL36"/>
      <c r="DCM36"/>
      <c r="DCN36"/>
      <c r="DCO36"/>
      <c r="DCP36"/>
      <c r="DCQ36"/>
      <c r="DCR36"/>
      <c r="DCS36"/>
      <c r="DCT36"/>
      <c r="DCU36"/>
      <c r="DCV36"/>
      <c r="DCW36"/>
      <c r="DCX36"/>
      <c r="DCY36"/>
      <c r="DCZ36"/>
      <c r="DDA36"/>
      <c r="DDB36"/>
      <c r="DDC36"/>
      <c r="DDD36"/>
      <c r="DDE36"/>
      <c r="DDF36"/>
      <c r="DDG36"/>
      <c r="DDH36"/>
      <c r="DDI36"/>
      <c r="DDJ36"/>
      <c r="DDK36"/>
      <c r="DDL36"/>
      <c r="DDM36"/>
      <c r="DDN36"/>
      <c r="DDO36"/>
      <c r="DDP36"/>
      <c r="DDQ36"/>
      <c r="DDR36"/>
      <c r="DDS36"/>
      <c r="DDT36"/>
      <c r="DDU36"/>
      <c r="DDV36"/>
      <c r="DDW36"/>
      <c r="DDX36"/>
      <c r="DDY36"/>
      <c r="DDZ36"/>
      <c r="DEA36"/>
      <c r="DEB36"/>
      <c r="DEC36"/>
      <c r="DED36"/>
      <c r="DEE36"/>
      <c r="DEF36"/>
      <c r="DEG36"/>
      <c r="DEH36"/>
      <c r="DEI36"/>
      <c r="DEJ36"/>
      <c r="DEK36"/>
      <c r="DEL36"/>
      <c r="DEM36"/>
      <c r="DEN36"/>
      <c r="DEO36"/>
      <c r="DEP36"/>
      <c r="DEQ36"/>
      <c r="DER36"/>
      <c r="DES36"/>
      <c r="DET36"/>
      <c r="DEU36"/>
      <c r="DEV36"/>
      <c r="DEW36"/>
      <c r="DEX36"/>
      <c r="DEY36"/>
      <c r="DEZ36"/>
      <c r="DFA36"/>
      <c r="DFB36"/>
      <c r="DFC36"/>
      <c r="DFD36"/>
      <c r="DFE36"/>
      <c r="DFF36"/>
      <c r="DFG36"/>
      <c r="DFH36"/>
      <c r="DFI36"/>
      <c r="DFJ36"/>
      <c r="DFK36"/>
      <c r="DFL36"/>
      <c r="DFM36"/>
      <c r="DFN36"/>
      <c r="DFO36"/>
      <c r="DFP36"/>
      <c r="DFQ36"/>
      <c r="DFR36"/>
      <c r="DFS36"/>
      <c r="DFT36"/>
      <c r="DFU36"/>
      <c r="DFV36"/>
      <c r="DFW36"/>
      <c r="DFX36"/>
      <c r="DFY36"/>
      <c r="DFZ36"/>
      <c r="DGA36"/>
      <c r="DGB36"/>
      <c r="DGC36"/>
      <c r="DGD36"/>
      <c r="DGE36"/>
      <c r="DGF36"/>
      <c r="DGG36"/>
      <c r="DGH36"/>
      <c r="DGI36"/>
      <c r="DGJ36"/>
      <c r="DGK36"/>
      <c r="DGL36"/>
      <c r="DGM36"/>
      <c r="DGN36"/>
      <c r="DGO36"/>
      <c r="DGP36"/>
      <c r="DGQ36"/>
      <c r="DGR36"/>
      <c r="DGS36"/>
      <c r="DGT36"/>
      <c r="DGU36"/>
      <c r="DGV36"/>
      <c r="DGW36"/>
      <c r="DGX36"/>
      <c r="DGY36"/>
      <c r="DGZ36"/>
      <c r="DHA36"/>
      <c r="DHB36"/>
      <c r="DHC36"/>
      <c r="DHD36"/>
      <c r="DHE36"/>
      <c r="DHF36"/>
      <c r="DHG36"/>
      <c r="DHH36"/>
      <c r="DHI36"/>
      <c r="DHJ36"/>
      <c r="DHK36"/>
      <c r="DHL36"/>
      <c r="DHM36"/>
      <c r="DHN36"/>
      <c r="DHO36"/>
      <c r="DHP36"/>
      <c r="DHQ36"/>
      <c r="DHR36"/>
      <c r="DHS36"/>
      <c r="DHT36"/>
      <c r="DHU36"/>
      <c r="DHV36"/>
      <c r="DHW36"/>
      <c r="DHX36"/>
      <c r="DHY36"/>
      <c r="DHZ36"/>
      <c r="DIA36"/>
      <c r="DIB36"/>
      <c r="DIC36"/>
      <c r="DID36"/>
      <c r="DIE36"/>
      <c r="DIF36"/>
      <c r="DIG36"/>
      <c r="DIH36"/>
      <c r="DII36"/>
      <c r="DIJ36"/>
      <c r="DIK36"/>
      <c r="DIL36"/>
      <c r="DIM36"/>
      <c r="DIN36"/>
      <c r="DIO36"/>
      <c r="DIP36"/>
      <c r="DIQ36"/>
      <c r="DIR36"/>
      <c r="DIS36"/>
      <c r="DIT36"/>
      <c r="DIU36"/>
      <c r="DIV36"/>
      <c r="DIW36"/>
      <c r="DIX36"/>
      <c r="DIY36"/>
      <c r="DIZ36"/>
      <c r="DJA36"/>
      <c r="DJB36"/>
      <c r="DJC36"/>
      <c r="DJD36"/>
      <c r="DJE36"/>
      <c r="DJF36"/>
      <c r="DJG36"/>
      <c r="DJH36"/>
      <c r="DJI36"/>
      <c r="DJJ36"/>
      <c r="DJK36"/>
      <c r="DJL36"/>
      <c r="DJM36"/>
      <c r="DJN36"/>
      <c r="DJO36"/>
      <c r="DJP36"/>
      <c r="DJQ36"/>
      <c r="DJR36"/>
      <c r="DJS36"/>
      <c r="DJT36"/>
      <c r="DJU36"/>
      <c r="DJV36"/>
      <c r="DJW36"/>
      <c r="DJX36"/>
      <c r="DJY36"/>
      <c r="DJZ36"/>
      <c r="DKA36"/>
      <c r="DKB36"/>
      <c r="DKC36"/>
      <c r="DKD36"/>
      <c r="DKE36"/>
      <c r="DKF36"/>
      <c r="DKG36"/>
      <c r="DKH36"/>
      <c r="DKI36"/>
      <c r="DKJ36"/>
      <c r="DKK36"/>
      <c r="DKL36"/>
      <c r="DKM36"/>
      <c r="DKN36"/>
      <c r="DKO36"/>
      <c r="DKP36"/>
      <c r="DKQ36"/>
      <c r="DKR36"/>
      <c r="DKS36"/>
      <c r="DKT36"/>
      <c r="DKU36"/>
      <c r="DKV36"/>
      <c r="DKW36"/>
      <c r="DKX36"/>
      <c r="DKY36"/>
      <c r="DKZ36"/>
      <c r="DLA36"/>
      <c r="DLB36"/>
      <c r="DLC36"/>
      <c r="DLD36"/>
      <c r="DLE36"/>
      <c r="DLF36"/>
      <c r="DLG36"/>
      <c r="DLH36"/>
      <c r="DLI36"/>
      <c r="DLJ36"/>
      <c r="DLK36"/>
      <c r="DLL36"/>
      <c r="DLM36"/>
      <c r="DLN36"/>
      <c r="DLO36"/>
      <c r="DLP36"/>
      <c r="DLQ36"/>
      <c r="DLR36"/>
      <c r="DLS36"/>
      <c r="DLT36"/>
      <c r="DLU36"/>
      <c r="DLV36"/>
      <c r="DLW36"/>
      <c r="DLX36"/>
      <c r="DLY36"/>
      <c r="DLZ36"/>
      <c r="DMA36"/>
      <c r="DMB36"/>
      <c r="DMC36"/>
      <c r="DMD36"/>
      <c r="DME36"/>
      <c r="DMF36"/>
      <c r="DMG36"/>
      <c r="DMH36"/>
      <c r="DMI36"/>
      <c r="DMJ36"/>
      <c r="DMK36"/>
      <c r="DML36"/>
      <c r="DMM36"/>
      <c r="DMN36"/>
      <c r="DMO36"/>
      <c r="DMP36"/>
      <c r="DMQ36"/>
      <c r="DMR36"/>
      <c r="DMS36"/>
      <c r="DMT36"/>
      <c r="DMU36"/>
      <c r="DMV36"/>
      <c r="DMW36"/>
      <c r="DMX36"/>
      <c r="DMY36"/>
      <c r="DMZ36"/>
      <c r="DNA36"/>
      <c r="DNB36"/>
      <c r="DNC36"/>
      <c r="DND36"/>
      <c r="DNE36"/>
      <c r="DNF36"/>
      <c r="DNG36"/>
      <c r="DNH36"/>
      <c r="DNI36"/>
      <c r="DNJ36"/>
      <c r="DNK36"/>
      <c r="DNL36"/>
      <c r="DNM36"/>
      <c r="DNN36"/>
      <c r="DNO36"/>
      <c r="DNP36"/>
      <c r="DNQ36"/>
      <c r="DNR36"/>
      <c r="DNS36"/>
      <c r="DNT36"/>
      <c r="DNU36"/>
      <c r="DNV36"/>
      <c r="DNW36"/>
      <c r="DNX36"/>
      <c r="DNY36"/>
      <c r="DNZ36"/>
      <c r="DOA36"/>
      <c r="DOB36"/>
      <c r="DOC36"/>
      <c r="DOD36"/>
      <c r="DOE36"/>
      <c r="DOF36"/>
      <c r="DOG36"/>
      <c r="DOH36"/>
      <c r="DOI36"/>
      <c r="DOJ36"/>
      <c r="DOK36"/>
      <c r="DOL36"/>
      <c r="DOM36"/>
      <c r="DON36"/>
      <c r="DOO36"/>
      <c r="DOP36"/>
      <c r="DOQ36"/>
      <c r="DOR36"/>
      <c r="DOS36"/>
      <c r="DOT36"/>
      <c r="DOU36"/>
      <c r="DOV36"/>
      <c r="DOW36"/>
      <c r="DOX36"/>
      <c r="DOY36"/>
      <c r="DOZ36"/>
      <c r="DPA36"/>
      <c r="DPB36"/>
      <c r="DPC36"/>
      <c r="DPD36"/>
      <c r="DPE36"/>
      <c r="DPF36"/>
      <c r="DPG36"/>
      <c r="DPH36"/>
      <c r="DPI36"/>
      <c r="DPJ36"/>
      <c r="DPK36"/>
      <c r="DPL36"/>
      <c r="DPM36"/>
      <c r="DPN36"/>
      <c r="DPO36"/>
      <c r="DPP36"/>
      <c r="DPQ36"/>
      <c r="DPR36"/>
      <c r="DPS36"/>
      <c r="DPT36"/>
      <c r="DPU36"/>
      <c r="DPV36"/>
      <c r="DPW36"/>
      <c r="DPX36"/>
      <c r="DPY36"/>
      <c r="DPZ36"/>
      <c r="DQA36"/>
      <c r="DQB36"/>
      <c r="DQC36"/>
      <c r="DQD36"/>
      <c r="DQE36"/>
      <c r="DQF36"/>
      <c r="DQG36"/>
      <c r="DQH36"/>
      <c r="DQI36"/>
      <c r="DQJ36"/>
      <c r="DQK36"/>
      <c r="DQL36"/>
      <c r="DQM36"/>
      <c r="DQN36"/>
      <c r="DQO36"/>
      <c r="DQP36"/>
      <c r="DQQ36"/>
      <c r="DQR36"/>
      <c r="DQS36"/>
      <c r="DQT36"/>
      <c r="DQU36"/>
      <c r="DQV36"/>
      <c r="DQW36"/>
      <c r="DQX36"/>
      <c r="DQY36"/>
      <c r="DQZ36"/>
      <c r="DRA36"/>
      <c r="DRB36"/>
      <c r="DRC36"/>
      <c r="DRD36"/>
      <c r="DRE36"/>
      <c r="DRF36"/>
      <c r="DRG36"/>
      <c r="DRH36"/>
      <c r="DRI36"/>
      <c r="DRJ36"/>
      <c r="DRK36"/>
      <c r="DRL36"/>
      <c r="DRM36"/>
      <c r="DRN36"/>
      <c r="DRO36"/>
      <c r="DRP36"/>
      <c r="DRQ36"/>
      <c r="DRR36"/>
      <c r="DRS36"/>
      <c r="DRT36"/>
      <c r="DRU36"/>
      <c r="DRV36"/>
      <c r="DRW36"/>
      <c r="DRX36"/>
      <c r="DRY36"/>
      <c r="DRZ36"/>
      <c r="DSA36"/>
      <c r="DSB36"/>
      <c r="DSC36"/>
      <c r="DSD36"/>
      <c r="DSE36"/>
      <c r="DSF36"/>
      <c r="DSG36"/>
      <c r="DSH36"/>
      <c r="DSI36"/>
      <c r="DSJ36"/>
      <c r="DSK36"/>
      <c r="DSL36"/>
      <c r="DSM36"/>
      <c r="DSN36"/>
      <c r="DSO36"/>
      <c r="DSP36"/>
      <c r="DSQ36"/>
      <c r="DSR36"/>
      <c r="DSS36"/>
      <c r="DST36"/>
      <c r="DSU36"/>
      <c r="DSV36"/>
      <c r="DSW36"/>
      <c r="DSX36"/>
      <c r="DSY36"/>
      <c r="DSZ36"/>
      <c r="DTA36"/>
      <c r="DTB36"/>
      <c r="DTC36"/>
      <c r="DTD36"/>
      <c r="DTE36"/>
      <c r="DTF36"/>
      <c r="DTG36"/>
      <c r="DTH36"/>
      <c r="DTI36"/>
      <c r="DTJ36"/>
      <c r="DTK36"/>
      <c r="DTL36"/>
      <c r="DTM36"/>
      <c r="DTN36"/>
      <c r="DTO36"/>
      <c r="DTP36"/>
      <c r="DTQ36"/>
      <c r="DTR36"/>
      <c r="DTS36"/>
      <c r="DTT36"/>
      <c r="DTU36"/>
      <c r="DTV36"/>
      <c r="DTW36"/>
      <c r="DTX36"/>
      <c r="DTY36"/>
      <c r="DTZ36"/>
      <c r="DUA36"/>
      <c r="DUB36"/>
      <c r="DUC36"/>
      <c r="DUD36"/>
      <c r="DUE36"/>
      <c r="DUF36"/>
      <c r="DUG36"/>
      <c r="DUH36"/>
      <c r="DUI36"/>
      <c r="DUJ36"/>
      <c r="DUK36"/>
      <c r="DUL36"/>
      <c r="DUM36"/>
      <c r="DUN36"/>
      <c r="DUO36"/>
      <c r="DUP36"/>
      <c r="DUQ36"/>
      <c r="DUR36"/>
      <c r="DUS36"/>
      <c r="DUT36"/>
      <c r="DUU36"/>
      <c r="DUV36"/>
      <c r="DUW36"/>
      <c r="DUX36"/>
      <c r="DUY36"/>
      <c r="DUZ36"/>
      <c r="DVA36"/>
      <c r="DVB36"/>
      <c r="DVC36"/>
      <c r="DVD36"/>
      <c r="DVE36"/>
      <c r="DVF36"/>
      <c r="DVG36"/>
      <c r="DVH36"/>
      <c r="DVI36"/>
      <c r="DVJ36"/>
      <c r="DVK36"/>
      <c r="DVL36"/>
      <c r="DVM36"/>
      <c r="DVN36"/>
      <c r="DVO36"/>
      <c r="DVP36"/>
      <c r="DVQ36"/>
      <c r="DVR36"/>
      <c r="DVS36"/>
      <c r="DVT36"/>
      <c r="DVU36"/>
      <c r="DVV36"/>
      <c r="DVW36"/>
      <c r="DVX36"/>
      <c r="DVY36"/>
      <c r="DVZ36"/>
      <c r="DWA36"/>
      <c r="DWB36"/>
      <c r="DWC36"/>
      <c r="DWD36"/>
      <c r="DWE36"/>
      <c r="DWF36"/>
      <c r="DWG36"/>
      <c r="DWH36"/>
      <c r="DWI36"/>
      <c r="DWJ36"/>
      <c r="DWK36"/>
      <c r="DWL36"/>
      <c r="DWM36"/>
      <c r="DWN36"/>
      <c r="DWO36"/>
      <c r="DWP36"/>
      <c r="DWQ36"/>
      <c r="DWR36"/>
      <c r="DWS36"/>
      <c r="DWT36"/>
      <c r="DWU36"/>
      <c r="DWV36"/>
      <c r="DWW36"/>
      <c r="DWX36"/>
      <c r="DWY36"/>
      <c r="DWZ36"/>
      <c r="DXA36"/>
      <c r="DXB36"/>
      <c r="DXC36"/>
      <c r="DXD36"/>
      <c r="DXE36"/>
      <c r="DXF36"/>
      <c r="DXG36"/>
      <c r="DXH36"/>
      <c r="DXI36"/>
      <c r="DXJ36"/>
      <c r="DXK36"/>
      <c r="DXL36"/>
      <c r="DXM36"/>
      <c r="DXN36"/>
      <c r="DXO36"/>
      <c r="DXP36"/>
      <c r="DXQ36"/>
      <c r="DXR36"/>
      <c r="DXS36"/>
      <c r="DXT36"/>
      <c r="DXU36"/>
      <c r="DXV36"/>
      <c r="DXW36"/>
      <c r="DXX36"/>
      <c r="DXY36"/>
      <c r="DXZ36"/>
      <c r="DYA36"/>
      <c r="DYB36"/>
      <c r="DYC36"/>
      <c r="DYD36"/>
      <c r="DYE36"/>
      <c r="DYF36"/>
      <c r="DYG36"/>
      <c r="DYH36"/>
      <c r="DYI36"/>
      <c r="DYJ36"/>
      <c r="DYK36"/>
      <c r="DYL36"/>
      <c r="DYM36"/>
      <c r="DYN36"/>
      <c r="DYO36"/>
      <c r="DYP36"/>
      <c r="DYQ36"/>
      <c r="DYR36"/>
      <c r="DYS36"/>
      <c r="DYT36"/>
      <c r="DYU36"/>
      <c r="DYV36"/>
      <c r="DYW36"/>
      <c r="DYX36"/>
      <c r="DYY36"/>
      <c r="DYZ36"/>
      <c r="DZA36"/>
      <c r="DZB36"/>
      <c r="DZC36"/>
      <c r="DZD36"/>
      <c r="DZE36"/>
      <c r="DZF36"/>
      <c r="DZG36"/>
      <c r="DZH36"/>
      <c r="DZI36"/>
      <c r="DZJ36"/>
      <c r="DZK36"/>
      <c r="DZL36"/>
      <c r="DZM36"/>
      <c r="DZN36"/>
      <c r="DZO36"/>
      <c r="DZP36"/>
      <c r="DZQ36"/>
      <c r="DZR36"/>
      <c r="DZS36"/>
      <c r="DZT36"/>
      <c r="DZU36"/>
      <c r="DZV36"/>
      <c r="DZW36"/>
      <c r="DZX36"/>
      <c r="DZY36"/>
      <c r="DZZ36"/>
      <c r="EAA36"/>
      <c r="EAB36"/>
      <c r="EAC36"/>
      <c r="EAD36"/>
      <c r="EAE36"/>
      <c r="EAF36"/>
      <c r="EAG36"/>
      <c r="EAH36"/>
      <c r="EAI36"/>
      <c r="EAJ36"/>
      <c r="EAK36"/>
      <c r="EAL36"/>
      <c r="EAM36"/>
      <c r="EAN36"/>
      <c r="EAO36"/>
      <c r="EAP36"/>
      <c r="EAQ36"/>
      <c r="EAR36"/>
      <c r="EAS36"/>
      <c r="EAT36"/>
      <c r="EAU36"/>
      <c r="EAV36"/>
      <c r="EAW36"/>
      <c r="EAX36"/>
      <c r="EAY36"/>
      <c r="EAZ36"/>
      <c r="EBA36"/>
      <c r="EBB36"/>
      <c r="EBC36"/>
      <c r="EBD36"/>
      <c r="EBE36"/>
      <c r="EBF36"/>
      <c r="EBG36"/>
      <c r="EBH36"/>
      <c r="EBI36"/>
      <c r="EBJ36"/>
      <c r="EBK36"/>
      <c r="EBL36"/>
      <c r="EBM36"/>
      <c r="EBN36"/>
      <c r="EBO36"/>
      <c r="EBP36"/>
      <c r="EBQ36"/>
      <c r="EBR36"/>
      <c r="EBS36"/>
      <c r="EBT36"/>
      <c r="EBU36"/>
      <c r="EBV36"/>
      <c r="EBW36"/>
      <c r="EBX36"/>
      <c r="EBY36"/>
      <c r="EBZ36"/>
      <c r="ECA36"/>
      <c r="ECB36"/>
      <c r="ECC36"/>
      <c r="ECD36"/>
      <c r="ECE36"/>
      <c r="ECF36"/>
      <c r="ECG36"/>
      <c r="ECH36"/>
      <c r="ECI36"/>
      <c r="ECJ36"/>
      <c r="ECK36"/>
      <c r="ECL36"/>
      <c r="ECM36"/>
      <c r="ECN36"/>
      <c r="ECO36"/>
      <c r="ECP36"/>
      <c r="ECQ36"/>
      <c r="ECR36"/>
      <c r="ECS36"/>
      <c r="ECT36"/>
      <c r="ECU36"/>
      <c r="ECV36"/>
      <c r="ECW36"/>
      <c r="ECX36"/>
      <c r="ECY36"/>
      <c r="ECZ36"/>
      <c r="EDA36"/>
      <c r="EDB36"/>
      <c r="EDC36"/>
      <c r="EDD36"/>
      <c r="EDE36"/>
      <c r="EDF36"/>
      <c r="EDG36"/>
      <c r="EDH36"/>
      <c r="EDI36"/>
      <c r="EDJ36"/>
      <c r="EDK36"/>
      <c r="EDL36"/>
      <c r="EDM36"/>
      <c r="EDN36"/>
      <c r="EDO36"/>
      <c r="EDP36"/>
      <c r="EDQ36"/>
      <c r="EDR36"/>
      <c r="EDS36"/>
      <c r="EDT36"/>
      <c r="EDU36"/>
      <c r="EDV36"/>
      <c r="EDW36"/>
      <c r="EDX36"/>
      <c r="EDY36"/>
      <c r="EDZ36"/>
      <c r="EEA36"/>
      <c r="EEB36"/>
      <c r="EEC36"/>
      <c r="EED36"/>
      <c r="EEE36"/>
      <c r="EEF36"/>
      <c r="EEG36"/>
      <c r="EEH36"/>
      <c r="EEI36"/>
      <c r="EEJ36"/>
      <c r="EEK36"/>
      <c r="EEL36"/>
      <c r="EEM36"/>
      <c r="EEN36"/>
      <c r="EEO36"/>
      <c r="EEP36"/>
      <c r="EEQ36"/>
      <c r="EER36"/>
      <c r="EES36"/>
      <c r="EET36"/>
      <c r="EEU36"/>
      <c r="EEV36"/>
      <c r="EEW36"/>
      <c r="EEX36"/>
      <c r="EEY36"/>
      <c r="EEZ36"/>
      <c r="EFA36"/>
      <c r="EFB36"/>
      <c r="EFC36"/>
      <c r="EFD36"/>
      <c r="EFE36"/>
      <c r="EFF36"/>
      <c r="EFG36"/>
      <c r="EFH36"/>
      <c r="EFI36"/>
      <c r="EFJ36"/>
      <c r="EFK36"/>
      <c r="EFL36"/>
      <c r="EFM36"/>
      <c r="EFN36"/>
      <c r="EFO36"/>
      <c r="EFP36"/>
      <c r="EFQ36"/>
      <c r="EFR36"/>
      <c r="EFS36"/>
      <c r="EFT36"/>
      <c r="EFU36"/>
      <c r="EFV36"/>
      <c r="EFW36"/>
      <c r="EFX36"/>
      <c r="EFY36"/>
      <c r="EFZ36"/>
      <c r="EGA36"/>
      <c r="EGB36"/>
      <c r="EGC36"/>
      <c r="EGD36"/>
      <c r="EGE36"/>
      <c r="EGF36"/>
      <c r="EGG36"/>
      <c r="EGH36"/>
      <c r="EGI36"/>
      <c r="EGJ36"/>
      <c r="EGK36"/>
      <c r="EGL36"/>
      <c r="EGM36"/>
      <c r="EGN36"/>
      <c r="EGO36"/>
      <c r="EGP36"/>
      <c r="EGQ36"/>
      <c r="EGR36"/>
      <c r="EGS36"/>
      <c r="EGT36"/>
      <c r="EGU36"/>
      <c r="EGV36"/>
      <c r="EGW36"/>
      <c r="EGX36"/>
      <c r="EGY36"/>
      <c r="EGZ36"/>
      <c r="EHA36"/>
      <c r="EHB36"/>
      <c r="EHC36"/>
      <c r="EHD36"/>
      <c r="EHE36"/>
      <c r="EHF36"/>
      <c r="EHG36"/>
      <c r="EHH36"/>
      <c r="EHI36"/>
      <c r="EHJ36"/>
      <c r="EHK36"/>
      <c r="EHL36"/>
      <c r="EHM36"/>
      <c r="EHN36"/>
      <c r="EHO36"/>
      <c r="EHP36"/>
      <c r="EHQ36"/>
      <c r="EHR36"/>
      <c r="EHS36"/>
      <c r="EHT36"/>
      <c r="EHU36"/>
      <c r="EHV36"/>
      <c r="EHW36"/>
      <c r="EHX36"/>
      <c r="EHY36"/>
      <c r="EHZ36"/>
      <c r="EIA36"/>
      <c r="EIB36"/>
      <c r="EIC36"/>
      <c r="EID36"/>
      <c r="EIE36"/>
      <c r="EIF36"/>
      <c r="EIG36"/>
      <c r="EIH36"/>
      <c r="EII36"/>
      <c r="EIJ36"/>
      <c r="EIK36"/>
      <c r="EIL36"/>
      <c r="EIM36"/>
      <c r="EIN36"/>
      <c r="EIO36"/>
      <c r="EIP36"/>
      <c r="EIQ36"/>
      <c r="EIR36"/>
      <c r="EIS36"/>
      <c r="EIT36"/>
      <c r="EIU36"/>
      <c r="EIV36"/>
      <c r="EIW36"/>
      <c r="EIX36"/>
      <c r="EIY36"/>
      <c r="EIZ36"/>
      <c r="EJA36"/>
      <c r="EJB36"/>
      <c r="EJC36"/>
      <c r="EJD36"/>
      <c r="EJE36"/>
      <c r="EJF36"/>
      <c r="EJG36"/>
      <c r="EJH36"/>
      <c r="EJI36"/>
      <c r="EJJ36"/>
      <c r="EJK36"/>
      <c r="EJL36"/>
      <c r="EJM36"/>
      <c r="EJN36"/>
      <c r="EJO36"/>
      <c r="EJP36"/>
      <c r="EJQ36"/>
      <c r="EJR36"/>
      <c r="EJS36"/>
      <c r="EJT36"/>
      <c r="EJU36"/>
      <c r="EJV36"/>
      <c r="EJW36"/>
      <c r="EJX36"/>
      <c r="EJY36"/>
      <c r="EJZ36"/>
      <c r="EKA36"/>
      <c r="EKB36"/>
      <c r="EKC36"/>
      <c r="EKD36"/>
      <c r="EKE36"/>
      <c r="EKF36"/>
      <c r="EKG36"/>
      <c r="EKH36"/>
      <c r="EKI36"/>
      <c r="EKJ36"/>
      <c r="EKK36"/>
      <c r="EKL36"/>
      <c r="EKM36"/>
      <c r="EKN36"/>
      <c r="EKO36"/>
      <c r="EKP36"/>
      <c r="EKQ36"/>
      <c r="EKR36"/>
      <c r="EKS36"/>
      <c r="EKT36"/>
      <c r="EKU36"/>
      <c r="EKV36"/>
      <c r="EKW36"/>
      <c r="EKX36"/>
      <c r="EKY36"/>
      <c r="EKZ36"/>
      <c r="ELA36"/>
      <c r="ELB36"/>
      <c r="ELC36"/>
      <c r="ELD36"/>
      <c r="ELE36"/>
      <c r="ELF36"/>
      <c r="ELG36"/>
      <c r="ELH36"/>
      <c r="ELI36"/>
      <c r="ELJ36"/>
      <c r="ELK36"/>
      <c r="ELL36"/>
      <c r="ELM36"/>
      <c r="ELN36"/>
      <c r="ELO36"/>
      <c r="ELP36"/>
      <c r="ELQ36"/>
      <c r="ELR36"/>
      <c r="ELS36"/>
      <c r="ELT36"/>
      <c r="ELU36"/>
      <c r="ELV36"/>
      <c r="ELW36"/>
      <c r="ELX36"/>
      <c r="ELY36"/>
      <c r="ELZ36"/>
      <c r="EMA36"/>
      <c r="EMB36"/>
      <c r="EMC36"/>
      <c r="EMD36"/>
      <c r="EME36"/>
      <c r="EMF36"/>
      <c r="EMG36"/>
      <c r="EMH36"/>
      <c r="EMI36"/>
      <c r="EMJ36"/>
      <c r="EMK36"/>
      <c r="EML36"/>
      <c r="EMM36"/>
      <c r="EMN36"/>
      <c r="EMO36"/>
      <c r="EMP36"/>
      <c r="EMQ36"/>
      <c r="EMR36"/>
      <c r="EMS36"/>
      <c r="EMT36"/>
      <c r="EMU36"/>
      <c r="EMV36"/>
      <c r="EMW36"/>
      <c r="EMX36"/>
      <c r="EMY36"/>
      <c r="EMZ36"/>
      <c r="ENA36"/>
      <c r="ENB36"/>
      <c r="ENC36"/>
      <c r="END36"/>
      <c r="ENE36"/>
      <c r="ENF36"/>
      <c r="ENG36"/>
      <c r="ENH36"/>
      <c r="ENI36"/>
      <c r="ENJ36"/>
      <c r="ENK36"/>
      <c r="ENL36"/>
      <c r="ENM36"/>
      <c r="ENN36"/>
      <c r="ENO36"/>
      <c r="ENP36"/>
      <c r="ENQ36"/>
      <c r="ENR36"/>
      <c r="ENS36"/>
      <c r="ENT36"/>
      <c r="ENU36"/>
      <c r="ENV36"/>
      <c r="ENW36"/>
      <c r="ENX36"/>
      <c r="ENY36"/>
      <c r="ENZ36"/>
      <c r="EOA36"/>
      <c r="EOB36"/>
      <c r="EOC36"/>
      <c r="EOD36"/>
      <c r="EOE36"/>
      <c r="EOF36"/>
      <c r="EOG36"/>
      <c r="EOH36"/>
      <c r="EOI36"/>
      <c r="EOJ36"/>
      <c r="EOK36"/>
      <c r="EOL36"/>
      <c r="EOM36"/>
      <c r="EON36"/>
      <c r="EOO36"/>
      <c r="EOP36"/>
      <c r="EOQ36"/>
      <c r="EOR36"/>
      <c r="EOS36"/>
      <c r="EOT36"/>
      <c r="EOU36"/>
      <c r="EOV36"/>
      <c r="EOW36"/>
      <c r="EOX36"/>
      <c r="EOY36"/>
      <c r="EOZ36"/>
      <c r="EPA36"/>
      <c r="EPB36"/>
      <c r="EPC36"/>
      <c r="EPD36"/>
      <c r="EPE36"/>
      <c r="EPF36"/>
      <c r="EPG36"/>
      <c r="EPH36"/>
      <c r="EPI36"/>
      <c r="EPJ36"/>
      <c r="EPK36"/>
      <c r="EPL36"/>
      <c r="EPM36"/>
      <c r="EPN36"/>
      <c r="EPO36"/>
      <c r="EPP36"/>
      <c r="EPQ36"/>
      <c r="EPR36"/>
      <c r="EPS36"/>
      <c r="EPT36"/>
      <c r="EPU36"/>
      <c r="EPV36"/>
      <c r="EPW36"/>
      <c r="EPX36"/>
      <c r="EPY36"/>
      <c r="EPZ36"/>
      <c r="EQA36"/>
      <c r="EQB36"/>
      <c r="EQC36"/>
      <c r="EQD36"/>
      <c r="EQE36"/>
      <c r="EQF36"/>
      <c r="EQG36"/>
      <c r="EQH36"/>
      <c r="EQI36"/>
      <c r="EQJ36"/>
      <c r="EQK36"/>
      <c r="EQL36"/>
      <c r="EQM36"/>
      <c r="EQN36"/>
      <c r="EQO36"/>
      <c r="EQP36"/>
      <c r="EQQ36"/>
      <c r="EQR36"/>
      <c r="EQS36"/>
      <c r="EQT36"/>
      <c r="EQU36"/>
      <c r="EQV36"/>
      <c r="EQW36"/>
      <c r="EQX36"/>
      <c r="EQY36"/>
      <c r="EQZ36"/>
      <c r="ERA36"/>
      <c r="ERB36"/>
      <c r="ERC36"/>
      <c r="ERD36"/>
      <c r="ERE36"/>
      <c r="ERF36"/>
      <c r="ERG36"/>
      <c r="ERH36"/>
      <c r="ERI36"/>
      <c r="ERJ36"/>
      <c r="ERK36"/>
      <c r="ERL36"/>
      <c r="ERM36"/>
      <c r="ERN36"/>
      <c r="ERO36"/>
      <c r="ERP36"/>
      <c r="ERQ36"/>
      <c r="ERR36"/>
      <c r="ERS36"/>
      <c r="ERT36"/>
      <c r="ERU36"/>
      <c r="ERV36"/>
      <c r="ERW36"/>
      <c r="ERX36"/>
      <c r="ERY36"/>
      <c r="ERZ36"/>
      <c r="ESA36"/>
      <c r="ESB36"/>
      <c r="ESC36"/>
      <c r="ESD36"/>
      <c r="ESE36"/>
      <c r="ESF36"/>
      <c r="ESG36"/>
      <c r="ESH36"/>
      <c r="ESI36"/>
      <c r="ESJ36"/>
      <c r="ESK36"/>
      <c r="ESL36"/>
      <c r="ESM36"/>
      <c r="ESN36"/>
      <c r="ESO36"/>
      <c r="ESP36"/>
      <c r="ESQ36"/>
      <c r="ESR36"/>
      <c r="ESS36"/>
      <c r="EST36"/>
      <c r="ESU36"/>
      <c r="ESV36"/>
      <c r="ESW36"/>
      <c r="ESX36"/>
      <c r="ESY36"/>
      <c r="ESZ36"/>
      <c r="ETA36"/>
      <c r="ETB36"/>
      <c r="ETC36"/>
      <c r="ETD36"/>
      <c r="ETE36"/>
      <c r="ETF36"/>
      <c r="ETG36"/>
      <c r="ETH36"/>
      <c r="ETI36"/>
      <c r="ETJ36"/>
      <c r="ETK36"/>
      <c r="ETL36"/>
      <c r="ETM36"/>
      <c r="ETN36"/>
      <c r="ETO36"/>
      <c r="ETP36"/>
      <c r="ETQ36"/>
      <c r="ETR36"/>
      <c r="ETS36"/>
      <c r="ETT36"/>
      <c r="ETU36"/>
      <c r="ETV36"/>
      <c r="ETW36"/>
      <c r="ETX36"/>
      <c r="ETY36"/>
      <c r="ETZ36"/>
      <c r="EUA36"/>
      <c r="EUB36"/>
      <c r="EUC36"/>
      <c r="EUD36"/>
      <c r="EUE36"/>
      <c r="EUF36"/>
      <c r="EUG36"/>
      <c r="EUH36"/>
      <c r="EUI36"/>
      <c r="EUJ36"/>
      <c r="EUK36"/>
      <c r="EUL36"/>
      <c r="EUM36"/>
      <c r="EUN36"/>
      <c r="EUO36"/>
      <c r="EUP36"/>
      <c r="EUQ36"/>
      <c r="EUR36"/>
      <c r="EUS36"/>
      <c r="EUT36"/>
      <c r="EUU36"/>
      <c r="EUV36"/>
      <c r="EUW36"/>
      <c r="EUX36"/>
      <c r="EUY36"/>
      <c r="EUZ36"/>
      <c r="EVA36"/>
      <c r="EVB36"/>
      <c r="EVC36"/>
      <c r="EVD36"/>
      <c r="EVE36"/>
      <c r="EVF36"/>
      <c r="EVG36"/>
      <c r="EVH36"/>
      <c r="EVI36"/>
      <c r="EVJ36"/>
      <c r="EVK36"/>
      <c r="EVL36"/>
      <c r="EVM36"/>
      <c r="EVN36"/>
      <c r="EVO36"/>
      <c r="EVP36"/>
      <c r="EVQ36"/>
      <c r="EVR36"/>
      <c r="EVS36"/>
      <c r="EVT36"/>
      <c r="EVU36"/>
      <c r="EVV36"/>
      <c r="EVW36"/>
      <c r="EVX36"/>
      <c r="EVY36"/>
      <c r="EVZ36"/>
      <c r="EWA36"/>
      <c r="EWB36"/>
      <c r="EWC36"/>
      <c r="EWD36"/>
      <c r="EWE36"/>
      <c r="EWF36"/>
      <c r="EWG36"/>
      <c r="EWH36"/>
      <c r="EWI36"/>
      <c r="EWJ36"/>
      <c r="EWK36"/>
      <c r="EWL36"/>
      <c r="EWM36"/>
      <c r="EWN36"/>
      <c r="EWO36"/>
      <c r="EWP36"/>
      <c r="EWQ36"/>
      <c r="EWR36"/>
      <c r="EWS36"/>
      <c r="EWT36"/>
      <c r="EWU36"/>
      <c r="EWV36"/>
      <c r="EWW36"/>
      <c r="EWX36"/>
      <c r="EWY36"/>
      <c r="EWZ36"/>
      <c r="EXA36"/>
      <c r="EXB36"/>
      <c r="EXC36"/>
      <c r="EXD36"/>
      <c r="EXE36"/>
      <c r="EXF36"/>
      <c r="EXG36"/>
      <c r="EXH36"/>
      <c r="EXI36"/>
      <c r="EXJ36"/>
      <c r="EXK36"/>
      <c r="EXL36"/>
      <c r="EXM36"/>
      <c r="EXN36"/>
      <c r="EXO36"/>
      <c r="EXP36"/>
      <c r="EXQ36"/>
      <c r="EXR36"/>
      <c r="EXS36"/>
      <c r="EXT36"/>
      <c r="EXU36"/>
      <c r="EXV36"/>
      <c r="EXW36"/>
      <c r="EXX36"/>
      <c r="EXY36"/>
      <c r="EXZ36"/>
      <c r="EYA36"/>
      <c r="EYB36"/>
      <c r="EYC36"/>
      <c r="EYD36"/>
      <c r="EYE36"/>
      <c r="EYF36"/>
      <c r="EYG36"/>
      <c r="EYH36"/>
      <c r="EYI36"/>
      <c r="EYJ36"/>
      <c r="EYK36"/>
      <c r="EYL36"/>
      <c r="EYM36"/>
      <c r="EYN36"/>
      <c r="EYO36"/>
      <c r="EYP36"/>
      <c r="EYQ36"/>
      <c r="EYR36"/>
      <c r="EYS36"/>
      <c r="EYT36"/>
      <c r="EYU36"/>
      <c r="EYV36"/>
      <c r="EYW36"/>
      <c r="EYX36"/>
      <c r="EYY36"/>
      <c r="EYZ36"/>
      <c r="EZA36"/>
      <c r="EZB36"/>
      <c r="EZC36"/>
      <c r="EZD36"/>
      <c r="EZE36"/>
      <c r="EZF36"/>
      <c r="EZG36"/>
      <c r="EZH36"/>
      <c r="EZI36"/>
      <c r="EZJ36"/>
      <c r="EZK36"/>
      <c r="EZL36"/>
      <c r="EZM36"/>
      <c r="EZN36"/>
      <c r="EZO36"/>
      <c r="EZP36"/>
      <c r="EZQ36"/>
      <c r="EZR36"/>
      <c r="EZS36"/>
      <c r="EZT36"/>
      <c r="EZU36"/>
      <c r="EZV36"/>
      <c r="EZW36"/>
      <c r="EZX36"/>
      <c r="EZY36"/>
      <c r="EZZ36"/>
      <c r="FAA36"/>
      <c r="FAB36"/>
      <c r="FAC36"/>
      <c r="FAD36"/>
      <c r="FAE36"/>
      <c r="FAF36"/>
      <c r="FAG36"/>
      <c r="FAH36"/>
      <c r="FAI36"/>
      <c r="FAJ36"/>
      <c r="FAK36"/>
      <c r="FAL36"/>
      <c r="FAM36"/>
      <c r="FAN36"/>
      <c r="FAO36"/>
      <c r="FAP36"/>
      <c r="FAQ36"/>
      <c r="FAR36"/>
      <c r="FAS36"/>
      <c r="FAT36"/>
      <c r="FAU36"/>
      <c r="FAV36"/>
      <c r="FAW36"/>
      <c r="FAX36"/>
      <c r="FAY36"/>
      <c r="FAZ36"/>
      <c r="FBA36"/>
      <c r="FBB36"/>
      <c r="FBC36"/>
      <c r="FBD36"/>
      <c r="FBE36"/>
      <c r="FBF36"/>
      <c r="FBG36"/>
      <c r="FBH36"/>
      <c r="FBI36"/>
      <c r="FBJ36"/>
      <c r="FBK36"/>
      <c r="FBL36"/>
      <c r="FBM36"/>
      <c r="FBN36"/>
      <c r="FBO36"/>
      <c r="FBP36"/>
      <c r="FBQ36"/>
      <c r="FBR36"/>
      <c r="FBS36"/>
      <c r="FBT36"/>
      <c r="FBU36"/>
      <c r="FBV36"/>
      <c r="FBW36"/>
      <c r="FBX36"/>
      <c r="FBY36"/>
      <c r="FBZ36"/>
      <c r="FCA36"/>
      <c r="FCB36"/>
      <c r="FCC36"/>
      <c r="FCD36"/>
      <c r="FCE36"/>
      <c r="FCF36"/>
      <c r="FCG36"/>
      <c r="FCH36"/>
      <c r="FCI36"/>
      <c r="FCJ36"/>
      <c r="FCK36"/>
      <c r="FCL36"/>
      <c r="FCM36"/>
      <c r="FCN36"/>
      <c r="FCO36"/>
      <c r="FCP36"/>
      <c r="FCQ36"/>
      <c r="FCR36"/>
      <c r="FCS36"/>
      <c r="FCT36"/>
      <c r="FCU36"/>
      <c r="FCV36"/>
      <c r="FCW36"/>
      <c r="FCX36"/>
      <c r="FCY36"/>
      <c r="FCZ36"/>
      <c r="FDA36"/>
      <c r="FDB36"/>
      <c r="FDC36"/>
      <c r="FDD36"/>
      <c r="FDE36"/>
      <c r="FDF36"/>
      <c r="FDG36"/>
      <c r="FDH36"/>
      <c r="FDI36"/>
      <c r="FDJ36"/>
      <c r="FDK36"/>
      <c r="FDL36"/>
      <c r="FDM36"/>
      <c r="FDN36"/>
      <c r="FDO36"/>
      <c r="FDP36"/>
      <c r="FDQ36"/>
      <c r="FDR36"/>
      <c r="FDS36"/>
      <c r="FDT36"/>
      <c r="FDU36"/>
      <c r="FDV36"/>
      <c r="FDW36"/>
      <c r="FDX36"/>
      <c r="FDY36"/>
      <c r="FDZ36"/>
      <c r="FEA36"/>
      <c r="FEB36"/>
      <c r="FEC36"/>
      <c r="FED36"/>
      <c r="FEE36"/>
      <c r="FEF36"/>
      <c r="FEG36"/>
      <c r="FEH36"/>
      <c r="FEI36"/>
      <c r="FEJ36"/>
      <c r="FEK36"/>
      <c r="FEL36"/>
      <c r="FEM36"/>
      <c r="FEN36"/>
      <c r="FEO36"/>
      <c r="FEP36"/>
      <c r="FEQ36"/>
      <c r="FER36"/>
      <c r="FES36"/>
      <c r="FET36"/>
      <c r="FEU36"/>
      <c r="FEV36"/>
      <c r="FEW36"/>
      <c r="FEX36"/>
      <c r="FEY36"/>
      <c r="FEZ36"/>
      <c r="FFA36"/>
      <c r="FFB36"/>
      <c r="FFC36"/>
      <c r="FFD36"/>
      <c r="FFE36"/>
      <c r="FFF36"/>
      <c r="FFG36"/>
      <c r="FFH36"/>
      <c r="FFI36"/>
      <c r="FFJ36"/>
      <c r="FFK36"/>
      <c r="FFL36"/>
      <c r="FFM36"/>
      <c r="FFN36"/>
      <c r="FFO36"/>
      <c r="FFP36"/>
      <c r="FFQ36"/>
      <c r="FFR36"/>
      <c r="FFS36"/>
      <c r="FFT36"/>
      <c r="FFU36"/>
      <c r="FFV36"/>
      <c r="FFW36"/>
      <c r="FFX36"/>
      <c r="FFY36"/>
      <c r="FFZ36"/>
      <c r="FGA36"/>
      <c r="FGB36"/>
      <c r="FGC36"/>
      <c r="FGD36"/>
      <c r="FGE36"/>
      <c r="FGF36"/>
      <c r="FGG36"/>
      <c r="FGH36"/>
      <c r="FGI36"/>
      <c r="FGJ36"/>
      <c r="FGK36"/>
      <c r="FGL36"/>
      <c r="FGM36"/>
      <c r="FGN36"/>
      <c r="FGO36"/>
      <c r="FGP36"/>
      <c r="FGQ36"/>
      <c r="FGR36"/>
      <c r="FGS36"/>
      <c r="FGT36"/>
      <c r="FGU36"/>
      <c r="FGV36"/>
      <c r="FGW36"/>
      <c r="FGX36"/>
      <c r="FGY36"/>
      <c r="FGZ36"/>
      <c r="FHA36"/>
      <c r="FHB36"/>
      <c r="FHC36"/>
      <c r="FHD36"/>
      <c r="FHE36"/>
      <c r="FHF36"/>
      <c r="FHG36"/>
      <c r="FHH36"/>
      <c r="FHI36"/>
      <c r="FHJ36"/>
      <c r="FHK36"/>
      <c r="FHL36"/>
      <c r="FHM36"/>
      <c r="FHN36"/>
      <c r="FHO36"/>
      <c r="FHP36"/>
      <c r="FHQ36"/>
      <c r="FHR36"/>
      <c r="FHS36"/>
      <c r="FHT36"/>
      <c r="FHU36"/>
      <c r="FHV36"/>
      <c r="FHW36"/>
      <c r="FHX36"/>
      <c r="FHY36"/>
      <c r="FHZ36"/>
      <c r="FIA36"/>
      <c r="FIB36"/>
      <c r="FIC36"/>
      <c r="FID36"/>
      <c r="FIE36"/>
      <c r="FIF36"/>
      <c r="FIG36"/>
      <c r="FIH36"/>
      <c r="FII36"/>
      <c r="FIJ36"/>
      <c r="FIK36"/>
      <c r="FIL36"/>
      <c r="FIM36"/>
      <c r="FIN36"/>
      <c r="FIO36"/>
      <c r="FIP36"/>
      <c r="FIQ36"/>
      <c r="FIR36"/>
      <c r="FIS36"/>
      <c r="FIT36"/>
      <c r="FIU36"/>
      <c r="FIV36"/>
      <c r="FIW36"/>
      <c r="FIX36"/>
      <c r="FIY36"/>
      <c r="FIZ36"/>
      <c r="FJA36"/>
      <c r="FJB36"/>
      <c r="FJC36"/>
      <c r="FJD36"/>
      <c r="FJE36"/>
      <c r="FJF36"/>
      <c r="FJG36"/>
      <c r="FJH36"/>
      <c r="FJI36"/>
      <c r="FJJ36"/>
      <c r="FJK36"/>
      <c r="FJL36"/>
      <c r="FJM36"/>
      <c r="FJN36"/>
      <c r="FJO36"/>
      <c r="FJP36"/>
      <c r="FJQ36"/>
      <c r="FJR36"/>
      <c r="FJS36"/>
      <c r="FJT36"/>
      <c r="FJU36"/>
      <c r="FJV36"/>
      <c r="FJW36"/>
      <c r="FJX36"/>
      <c r="FJY36"/>
      <c r="FJZ36"/>
      <c r="FKA36"/>
      <c r="FKB36"/>
      <c r="FKC36"/>
      <c r="FKD36"/>
      <c r="FKE36"/>
      <c r="FKF36"/>
      <c r="FKG36"/>
      <c r="FKH36"/>
      <c r="FKI36"/>
      <c r="FKJ36"/>
      <c r="FKK36"/>
      <c r="FKL36"/>
      <c r="FKM36"/>
      <c r="FKN36"/>
      <c r="FKO36"/>
      <c r="FKP36"/>
      <c r="FKQ36"/>
      <c r="FKR36"/>
      <c r="FKS36"/>
      <c r="FKT36"/>
      <c r="FKU36"/>
      <c r="FKV36"/>
      <c r="FKW36"/>
      <c r="FKX36"/>
      <c r="FKY36"/>
      <c r="FKZ36"/>
      <c r="FLA36"/>
      <c r="FLB36"/>
      <c r="FLC36"/>
      <c r="FLD36"/>
      <c r="FLE36"/>
      <c r="FLF36"/>
      <c r="FLG36"/>
      <c r="FLH36"/>
      <c r="FLI36"/>
      <c r="FLJ36"/>
      <c r="FLK36"/>
      <c r="FLL36"/>
      <c r="FLM36"/>
      <c r="FLN36"/>
      <c r="FLO36"/>
      <c r="FLP36"/>
      <c r="FLQ36"/>
      <c r="FLR36"/>
      <c r="FLS36"/>
      <c r="FLT36"/>
      <c r="FLU36"/>
      <c r="FLV36"/>
      <c r="FLW36"/>
      <c r="FLX36"/>
      <c r="FLY36"/>
      <c r="FLZ36"/>
      <c r="FMA36"/>
      <c r="FMB36"/>
      <c r="FMC36"/>
      <c r="FMD36"/>
      <c r="FME36"/>
      <c r="FMF36"/>
      <c r="FMG36"/>
      <c r="FMH36"/>
      <c r="FMI36"/>
      <c r="FMJ36"/>
      <c r="FMK36"/>
      <c r="FML36"/>
      <c r="FMM36"/>
      <c r="FMN36"/>
      <c r="FMO36"/>
      <c r="FMP36"/>
      <c r="FMQ36"/>
      <c r="FMR36"/>
      <c r="FMS36"/>
      <c r="FMT36"/>
      <c r="FMU36"/>
      <c r="FMV36"/>
      <c r="FMW36"/>
      <c r="FMX36"/>
      <c r="FMY36"/>
      <c r="FMZ36"/>
      <c r="FNA36"/>
      <c r="FNB36"/>
      <c r="FNC36"/>
      <c r="FND36"/>
      <c r="FNE36"/>
      <c r="FNF36"/>
      <c r="FNG36"/>
      <c r="FNH36"/>
      <c r="FNI36"/>
      <c r="FNJ36"/>
      <c r="FNK36"/>
      <c r="FNL36"/>
      <c r="FNM36"/>
      <c r="FNN36"/>
      <c r="FNO36"/>
      <c r="FNP36"/>
      <c r="FNQ36"/>
      <c r="FNR36"/>
      <c r="FNS36"/>
      <c r="FNT36"/>
      <c r="FNU36"/>
      <c r="FNV36"/>
      <c r="FNW36"/>
      <c r="FNX36"/>
      <c r="FNY36"/>
      <c r="FNZ36"/>
      <c r="FOA36"/>
      <c r="FOB36"/>
      <c r="FOC36"/>
      <c r="FOD36"/>
      <c r="FOE36"/>
      <c r="FOF36"/>
      <c r="FOG36"/>
      <c r="FOH36"/>
      <c r="FOI36"/>
      <c r="FOJ36"/>
      <c r="FOK36"/>
      <c r="FOL36"/>
      <c r="FOM36"/>
      <c r="FON36"/>
      <c r="FOO36"/>
      <c r="FOP36"/>
      <c r="FOQ36"/>
      <c r="FOR36"/>
      <c r="FOS36"/>
      <c r="FOT36"/>
      <c r="FOU36"/>
      <c r="FOV36"/>
      <c r="FOW36"/>
      <c r="FOX36"/>
      <c r="FOY36"/>
      <c r="FOZ36"/>
      <c r="FPA36"/>
      <c r="FPB36"/>
      <c r="FPC36"/>
      <c r="FPD36"/>
      <c r="FPE36"/>
      <c r="FPF36"/>
      <c r="FPG36"/>
      <c r="FPH36"/>
      <c r="FPI36"/>
      <c r="FPJ36"/>
      <c r="FPK36"/>
      <c r="FPL36"/>
      <c r="FPM36"/>
      <c r="FPN36"/>
      <c r="FPO36"/>
      <c r="FPP36"/>
      <c r="FPQ36"/>
      <c r="FPR36"/>
      <c r="FPS36"/>
      <c r="FPT36"/>
      <c r="FPU36"/>
      <c r="FPV36"/>
      <c r="FPW36"/>
      <c r="FPX36"/>
      <c r="FPY36"/>
      <c r="FPZ36"/>
      <c r="FQA36"/>
      <c r="FQB36"/>
      <c r="FQC36"/>
      <c r="FQD36"/>
      <c r="FQE36"/>
      <c r="FQF36"/>
      <c r="FQG36"/>
      <c r="FQH36"/>
      <c r="FQI36"/>
      <c r="FQJ36"/>
      <c r="FQK36"/>
      <c r="FQL36"/>
      <c r="FQM36"/>
      <c r="FQN36"/>
      <c r="FQO36"/>
      <c r="FQP36"/>
      <c r="FQQ36"/>
      <c r="FQR36"/>
      <c r="FQS36"/>
      <c r="FQT36"/>
      <c r="FQU36"/>
      <c r="FQV36"/>
      <c r="FQW36"/>
      <c r="FQX36"/>
      <c r="FQY36"/>
      <c r="FQZ36"/>
      <c r="FRA36"/>
      <c r="FRB36"/>
      <c r="FRC36"/>
      <c r="FRD36"/>
      <c r="FRE36"/>
      <c r="FRF36"/>
      <c r="FRG36"/>
      <c r="FRH36"/>
      <c r="FRI36"/>
      <c r="FRJ36"/>
      <c r="FRK36"/>
      <c r="FRL36"/>
      <c r="FRM36"/>
      <c r="FRN36"/>
      <c r="FRO36"/>
      <c r="FRP36"/>
      <c r="FRQ36"/>
      <c r="FRR36"/>
      <c r="FRS36"/>
      <c r="FRT36"/>
      <c r="FRU36"/>
      <c r="FRV36"/>
      <c r="FRW36"/>
      <c r="FRX36"/>
      <c r="FRY36"/>
      <c r="FRZ36"/>
      <c r="FSA36"/>
      <c r="FSB36"/>
      <c r="FSC36"/>
      <c r="FSD36"/>
      <c r="FSE36"/>
      <c r="FSF36"/>
      <c r="FSG36"/>
      <c r="FSH36"/>
      <c r="FSI36"/>
      <c r="FSJ36"/>
      <c r="FSK36"/>
      <c r="FSL36"/>
      <c r="FSM36"/>
      <c r="FSN36"/>
      <c r="FSO36"/>
      <c r="FSP36"/>
      <c r="FSQ36"/>
      <c r="FSR36"/>
      <c r="FSS36"/>
      <c r="FST36"/>
      <c r="FSU36"/>
      <c r="FSV36"/>
      <c r="FSW36"/>
      <c r="FSX36"/>
      <c r="FSY36"/>
      <c r="FSZ36"/>
      <c r="FTA36"/>
      <c r="FTB36"/>
      <c r="FTC36"/>
      <c r="FTD36"/>
      <c r="FTE36"/>
      <c r="FTF36"/>
      <c r="FTG36"/>
      <c r="FTH36"/>
      <c r="FTI36"/>
      <c r="FTJ36"/>
      <c r="FTK36"/>
      <c r="FTL36"/>
      <c r="FTM36"/>
      <c r="FTN36"/>
      <c r="FTO36"/>
      <c r="FTP36"/>
      <c r="FTQ36"/>
      <c r="FTR36"/>
      <c r="FTS36"/>
      <c r="FTT36"/>
      <c r="FTU36"/>
      <c r="FTV36"/>
      <c r="FTW36"/>
      <c r="FTX36"/>
      <c r="FTY36"/>
      <c r="FTZ36"/>
      <c r="FUA36"/>
      <c r="FUB36"/>
      <c r="FUC36"/>
      <c r="FUD36"/>
      <c r="FUE36"/>
      <c r="FUF36"/>
      <c r="FUG36"/>
      <c r="FUH36"/>
      <c r="FUI36"/>
      <c r="FUJ36"/>
      <c r="FUK36"/>
      <c r="FUL36"/>
      <c r="FUM36"/>
      <c r="FUN36"/>
      <c r="FUO36"/>
      <c r="FUP36"/>
      <c r="FUQ36"/>
      <c r="FUR36"/>
      <c r="FUS36"/>
      <c r="FUT36"/>
      <c r="FUU36"/>
      <c r="FUV36"/>
      <c r="FUW36"/>
      <c r="FUX36"/>
      <c r="FUY36"/>
      <c r="FUZ36"/>
      <c r="FVA36"/>
      <c r="FVB36"/>
      <c r="FVC36"/>
      <c r="FVD36"/>
      <c r="FVE36"/>
      <c r="FVF36"/>
      <c r="FVG36"/>
      <c r="FVH36"/>
      <c r="FVI36"/>
      <c r="FVJ36"/>
      <c r="FVK36"/>
      <c r="FVL36"/>
      <c r="FVM36"/>
      <c r="FVN36"/>
      <c r="FVO36"/>
      <c r="FVP36"/>
      <c r="FVQ36"/>
      <c r="FVR36"/>
      <c r="FVS36"/>
      <c r="FVT36"/>
      <c r="FVU36"/>
      <c r="FVV36"/>
      <c r="FVW36"/>
      <c r="FVX36"/>
      <c r="FVY36"/>
      <c r="FVZ36"/>
      <c r="FWA36"/>
      <c r="FWB36"/>
      <c r="FWC36"/>
      <c r="FWD36"/>
      <c r="FWE36"/>
      <c r="FWF36"/>
      <c r="FWG36"/>
      <c r="FWH36"/>
      <c r="FWI36"/>
      <c r="FWJ36"/>
      <c r="FWK36"/>
      <c r="FWL36"/>
      <c r="FWM36"/>
      <c r="FWN36"/>
      <c r="FWO36"/>
      <c r="FWP36"/>
      <c r="FWQ36"/>
      <c r="FWR36"/>
      <c r="FWS36"/>
      <c r="FWT36"/>
      <c r="FWU36"/>
      <c r="FWV36"/>
      <c r="FWW36"/>
      <c r="FWX36"/>
      <c r="FWY36"/>
      <c r="FWZ36"/>
      <c r="FXA36"/>
      <c r="FXB36"/>
      <c r="FXC36"/>
      <c r="FXD36"/>
      <c r="FXE36"/>
      <c r="FXF36"/>
      <c r="FXG36"/>
      <c r="FXH36"/>
      <c r="FXI36"/>
      <c r="FXJ36"/>
      <c r="FXK36"/>
      <c r="FXL36"/>
      <c r="FXM36"/>
      <c r="FXN36"/>
      <c r="FXO36"/>
      <c r="FXP36"/>
      <c r="FXQ36"/>
      <c r="FXR36"/>
      <c r="FXS36"/>
      <c r="FXT36"/>
      <c r="FXU36"/>
      <c r="FXV36"/>
      <c r="FXW36"/>
      <c r="FXX36"/>
      <c r="FXY36"/>
      <c r="FXZ36"/>
      <c r="FYA36"/>
      <c r="FYB36"/>
      <c r="FYC36"/>
      <c r="FYD36"/>
      <c r="FYE36"/>
      <c r="FYF36"/>
      <c r="FYG36"/>
      <c r="FYH36"/>
      <c r="FYI36"/>
      <c r="FYJ36"/>
      <c r="FYK36"/>
      <c r="FYL36"/>
      <c r="FYM36"/>
      <c r="FYN36"/>
      <c r="FYO36"/>
      <c r="FYP36"/>
      <c r="FYQ36"/>
      <c r="FYR36"/>
      <c r="FYS36"/>
      <c r="FYT36"/>
      <c r="FYU36"/>
      <c r="FYV36"/>
      <c r="FYW36"/>
      <c r="FYX36"/>
      <c r="FYY36"/>
      <c r="FYZ36"/>
      <c r="FZA36"/>
      <c r="FZB36"/>
      <c r="FZC36"/>
      <c r="FZD36"/>
      <c r="FZE36"/>
      <c r="FZF36"/>
      <c r="FZG36"/>
      <c r="FZH36"/>
      <c r="FZI36"/>
      <c r="FZJ36"/>
      <c r="FZK36"/>
      <c r="FZL36"/>
      <c r="FZM36"/>
      <c r="FZN36"/>
      <c r="FZO36"/>
      <c r="FZP36"/>
      <c r="FZQ36"/>
      <c r="FZR36"/>
      <c r="FZS36"/>
      <c r="FZT36"/>
      <c r="FZU36"/>
      <c r="FZV36"/>
      <c r="FZW36"/>
      <c r="FZX36"/>
      <c r="FZY36"/>
      <c r="FZZ36"/>
      <c r="GAA36"/>
      <c r="GAB36"/>
      <c r="GAC36"/>
      <c r="GAD36"/>
      <c r="GAE36"/>
      <c r="GAF36"/>
      <c r="GAG36"/>
      <c r="GAH36"/>
      <c r="GAI36"/>
      <c r="GAJ36"/>
      <c r="GAK36"/>
      <c r="GAL36"/>
      <c r="GAM36"/>
      <c r="GAN36"/>
      <c r="GAO36"/>
      <c r="GAP36"/>
      <c r="GAQ36"/>
      <c r="GAR36"/>
      <c r="GAS36"/>
      <c r="GAT36"/>
      <c r="GAU36"/>
      <c r="GAV36"/>
      <c r="GAW36"/>
      <c r="GAX36"/>
      <c r="GAY36"/>
      <c r="GAZ36"/>
      <c r="GBA36"/>
      <c r="GBB36"/>
      <c r="GBC36"/>
      <c r="GBD36"/>
      <c r="GBE36"/>
      <c r="GBF36"/>
      <c r="GBG36"/>
      <c r="GBH36"/>
      <c r="GBI36"/>
      <c r="GBJ36"/>
      <c r="GBK36"/>
      <c r="GBL36"/>
      <c r="GBM36"/>
      <c r="GBN36"/>
      <c r="GBO36"/>
      <c r="GBP36"/>
      <c r="GBQ36"/>
      <c r="GBR36"/>
      <c r="GBS36"/>
      <c r="GBT36"/>
      <c r="GBU36"/>
      <c r="GBV36"/>
      <c r="GBW36"/>
      <c r="GBX36"/>
      <c r="GBY36"/>
      <c r="GBZ36"/>
      <c r="GCA36"/>
      <c r="GCB36"/>
      <c r="GCC36"/>
      <c r="GCD36"/>
      <c r="GCE36"/>
      <c r="GCF36"/>
      <c r="GCG36"/>
      <c r="GCH36"/>
      <c r="GCI36"/>
      <c r="GCJ36"/>
      <c r="GCK36"/>
      <c r="GCL36"/>
      <c r="GCM36"/>
      <c r="GCN36"/>
      <c r="GCO36"/>
      <c r="GCP36"/>
      <c r="GCQ36"/>
      <c r="GCR36"/>
      <c r="GCS36"/>
      <c r="GCT36"/>
      <c r="GCU36"/>
      <c r="GCV36"/>
      <c r="GCW36"/>
      <c r="GCX36"/>
      <c r="GCY36"/>
      <c r="GCZ36"/>
      <c r="GDA36"/>
      <c r="GDB36"/>
      <c r="GDC36"/>
      <c r="GDD36"/>
      <c r="GDE36"/>
      <c r="GDF36"/>
      <c r="GDG36"/>
      <c r="GDH36"/>
      <c r="GDI36"/>
      <c r="GDJ36"/>
      <c r="GDK36"/>
      <c r="GDL36"/>
      <c r="GDM36"/>
      <c r="GDN36"/>
      <c r="GDO36"/>
      <c r="GDP36"/>
      <c r="GDQ36"/>
      <c r="GDR36"/>
      <c r="GDS36"/>
      <c r="GDT36"/>
      <c r="GDU36"/>
      <c r="GDV36"/>
      <c r="GDW36"/>
      <c r="GDX36"/>
      <c r="GDY36"/>
      <c r="GDZ36"/>
      <c r="GEA36"/>
      <c r="GEB36"/>
      <c r="GEC36"/>
      <c r="GED36"/>
      <c r="GEE36"/>
      <c r="GEF36"/>
      <c r="GEG36"/>
      <c r="GEH36"/>
      <c r="GEI36"/>
      <c r="GEJ36"/>
      <c r="GEK36"/>
      <c r="GEL36"/>
      <c r="GEM36"/>
      <c r="GEN36"/>
      <c r="GEO36"/>
      <c r="GEP36"/>
      <c r="GEQ36"/>
      <c r="GER36"/>
      <c r="GES36"/>
      <c r="GET36"/>
      <c r="GEU36"/>
      <c r="GEV36"/>
      <c r="GEW36"/>
      <c r="GEX36"/>
      <c r="GEY36"/>
      <c r="GEZ36"/>
      <c r="GFA36"/>
      <c r="GFB36"/>
      <c r="GFC36"/>
      <c r="GFD36"/>
      <c r="GFE36"/>
      <c r="GFF36"/>
      <c r="GFG36"/>
      <c r="GFH36"/>
      <c r="GFI36"/>
      <c r="GFJ36"/>
      <c r="GFK36"/>
      <c r="GFL36"/>
      <c r="GFM36"/>
      <c r="GFN36"/>
      <c r="GFO36"/>
      <c r="GFP36"/>
      <c r="GFQ36"/>
      <c r="GFR36"/>
      <c r="GFS36"/>
      <c r="GFT36"/>
      <c r="GFU36"/>
      <c r="GFV36"/>
      <c r="GFW36"/>
      <c r="GFX36"/>
      <c r="GFY36"/>
      <c r="GFZ36"/>
      <c r="GGA36"/>
      <c r="GGB36"/>
      <c r="GGC36"/>
      <c r="GGD36"/>
      <c r="GGE36"/>
      <c r="GGF36"/>
      <c r="GGG36"/>
      <c r="GGH36"/>
      <c r="GGI36"/>
      <c r="GGJ36"/>
      <c r="GGK36"/>
      <c r="GGL36"/>
      <c r="GGM36"/>
      <c r="GGN36"/>
      <c r="GGO36"/>
      <c r="GGP36"/>
      <c r="GGQ36"/>
      <c r="GGR36"/>
      <c r="GGS36"/>
      <c r="GGT36"/>
      <c r="GGU36"/>
      <c r="GGV36"/>
      <c r="GGW36"/>
      <c r="GGX36"/>
      <c r="GGY36"/>
      <c r="GGZ36"/>
      <c r="GHA36"/>
      <c r="GHB36"/>
      <c r="GHC36"/>
      <c r="GHD36"/>
      <c r="GHE36"/>
      <c r="GHF36"/>
      <c r="GHG36"/>
      <c r="GHH36"/>
      <c r="GHI36"/>
      <c r="GHJ36"/>
      <c r="GHK36"/>
      <c r="GHL36"/>
      <c r="GHM36"/>
      <c r="GHN36"/>
      <c r="GHO36"/>
      <c r="GHP36"/>
      <c r="GHQ36"/>
      <c r="GHR36"/>
      <c r="GHS36"/>
      <c r="GHT36"/>
      <c r="GHU36"/>
      <c r="GHV36"/>
      <c r="GHW36"/>
      <c r="GHX36"/>
      <c r="GHY36"/>
      <c r="GHZ36"/>
      <c r="GIA36"/>
      <c r="GIB36"/>
      <c r="GIC36"/>
      <c r="GID36"/>
      <c r="GIE36"/>
      <c r="GIF36"/>
      <c r="GIG36"/>
      <c r="GIH36"/>
      <c r="GII36"/>
      <c r="GIJ36"/>
      <c r="GIK36"/>
      <c r="GIL36"/>
      <c r="GIM36"/>
      <c r="GIN36"/>
      <c r="GIO36"/>
      <c r="GIP36"/>
      <c r="GIQ36"/>
      <c r="GIR36"/>
      <c r="GIS36"/>
      <c r="GIT36"/>
      <c r="GIU36"/>
      <c r="GIV36"/>
      <c r="GIW36"/>
      <c r="GIX36"/>
      <c r="GIY36"/>
      <c r="GIZ36"/>
      <c r="GJA36"/>
      <c r="GJB36"/>
      <c r="GJC36"/>
      <c r="GJD36"/>
      <c r="GJE36"/>
      <c r="GJF36"/>
      <c r="GJG36"/>
      <c r="GJH36"/>
      <c r="GJI36"/>
      <c r="GJJ36"/>
      <c r="GJK36"/>
      <c r="GJL36"/>
      <c r="GJM36"/>
      <c r="GJN36"/>
      <c r="GJO36"/>
      <c r="GJP36"/>
      <c r="GJQ36"/>
      <c r="GJR36"/>
      <c r="GJS36"/>
      <c r="GJT36"/>
      <c r="GJU36"/>
      <c r="GJV36"/>
      <c r="GJW36"/>
      <c r="GJX36"/>
      <c r="GJY36"/>
      <c r="GJZ36"/>
      <c r="GKA36"/>
      <c r="GKB36"/>
      <c r="GKC36"/>
      <c r="GKD36"/>
      <c r="GKE36"/>
      <c r="GKF36"/>
      <c r="GKG36"/>
      <c r="GKH36"/>
      <c r="GKI36"/>
      <c r="GKJ36"/>
      <c r="GKK36"/>
      <c r="GKL36"/>
      <c r="GKM36"/>
      <c r="GKN36"/>
      <c r="GKO36"/>
      <c r="GKP36"/>
      <c r="GKQ36"/>
      <c r="GKR36"/>
      <c r="GKS36"/>
      <c r="GKT36"/>
      <c r="GKU36"/>
      <c r="GKV36"/>
      <c r="GKW36"/>
      <c r="GKX36"/>
      <c r="GKY36"/>
      <c r="GKZ36"/>
      <c r="GLA36"/>
      <c r="GLB36"/>
      <c r="GLC36"/>
      <c r="GLD36"/>
      <c r="GLE36"/>
      <c r="GLF36"/>
      <c r="GLG36"/>
      <c r="GLH36"/>
      <c r="GLI36"/>
      <c r="GLJ36"/>
      <c r="GLK36"/>
      <c r="GLL36"/>
      <c r="GLM36"/>
      <c r="GLN36"/>
      <c r="GLO36"/>
      <c r="GLP36"/>
      <c r="GLQ36"/>
      <c r="GLR36"/>
      <c r="GLS36"/>
      <c r="GLT36"/>
      <c r="GLU36"/>
      <c r="GLV36"/>
      <c r="GLW36"/>
      <c r="GLX36"/>
      <c r="GLY36"/>
      <c r="GLZ36"/>
      <c r="GMA36"/>
      <c r="GMB36"/>
      <c r="GMC36"/>
      <c r="GMD36"/>
      <c r="GME36"/>
      <c r="GMF36"/>
      <c r="GMG36"/>
      <c r="GMH36"/>
      <c r="GMI36"/>
      <c r="GMJ36"/>
      <c r="GMK36"/>
      <c r="GML36"/>
      <c r="GMM36"/>
      <c r="GMN36"/>
      <c r="GMO36"/>
      <c r="GMP36"/>
      <c r="GMQ36"/>
      <c r="GMR36"/>
      <c r="GMS36"/>
      <c r="GMT36"/>
      <c r="GMU36"/>
      <c r="GMV36"/>
      <c r="GMW36"/>
      <c r="GMX36"/>
      <c r="GMY36"/>
      <c r="GMZ36"/>
      <c r="GNA36"/>
      <c r="GNB36"/>
      <c r="GNC36"/>
      <c r="GND36"/>
      <c r="GNE36"/>
      <c r="GNF36"/>
      <c r="GNG36"/>
      <c r="GNH36"/>
      <c r="GNI36"/>
      <c r="GNJ36"/>
      <c r="GNK36"/>
      <c r="GNL36"/>
      <c r="GNM36"/>
      <c r="GNN36"/>
      <c r="GNO36"/>
      <c r="GNP36"/>
      <c r="GNQ36"/>
      <c r="GNR36"/>
      <c r="GNS36"/>
      <c r="GNT36"/>
      <c r="GNU36"/>
      <c r="GNV36"/>
      <c r="GNW36"/>
      <c r="GNX36"/>
      <c r="GNY36"/>
      <c r="GNZ36"/>
      <c r="GOA36"/>
      <c r="GOB36"/>
      <c r="GOC36"/>
      <c r="GOD36"/>
      <c r="GOE36"/>
      <c r="GOF36"/>
      <c r="GOG36"/>
      <c r="GOH36"/>
      <c r="GOI36"/>
      <c r="GOJ36"/>
      <c r="GOK36"/>
      <c r="GOL36"/>
      <c r="GOM36"/>
      <c r="GON36"/>
      <c r="GOO36"/>
      <c r="GOP36"/>
      <c r="GOQ36"/>
      <c r="GOR36"/>
      <c r="GOS36"/>
      <c r="GOT36"/>
      <c r="GOU36"/>
      <c r="GOV36"/>
      <c r="GOW36"/>
      <c r="GOX36"/>
      <c r="GOY36"/>
      <c r="GOZ36"/>
      <c r="GPA36"/>
      <c r="GPB36"/>
      <c r="GPC36"/>
      <c r="GPD36"/>
      <c r="GPE36"/>
      <c r="GPF36"/>
      <c r="GPG36"/>
      <c r="GPH36"/>
      <c r="GPI36"/>
      <c r="GPJ36"/>
      <c r="GPK36"/>
      <c r="GPL36"/>
      <c r="GPM36"/>
      <c r="GPN36"/>
      <c r="GPO36"/>
      <c r="GPP36"/>
      <c r="GPQ36"/>
      <c r="GPR36"/>
      <c r="GPS36"/>
      <c r="GPT36"/>
      <c r="GPU36"/>
      <c r="GPV36"/>
      <c r="GPW36"/>
      <c r="GPX36"/>
      <c r="GPY36"/>
      <c r="GPZ36"/>
      <c r="GQA36"/>
      <c r="GQB36"/>
      <c r="GQC36"/>
      <c r="GQD36"/>
      <c r="GQE36"/>
      <c r="GQF36"/>
      <c r="GQG36"/>
      <c r="GQH36"/>
      <c r="GQI36"/>
      <c r="GQJ36"/>
      <c r="GQK36"/>
      <c r="GQL36"/>
      <c r="GQM36"/>
      <c r="GQN36"/>
      <c r="GQO36"/>
      <c r="GQP36"/>
      <c r="GQQ36"/>
      <c r="GQR36"/>
      <c r="GQS36"/>
      <c r="GQT36"/>
      <c r="GQU36"/>
      <c r="GQV36"/>
      <c r="GQW36"/>
      <c r="GQX36"/>
      <c r="GQY36"/>
      <c r="GQZ36"/>
      <c r="GRA36"/>
      <c r="GRB36"/>
      <c r="GRC36"/>
      <c r="GRD36"/>
      <c r="GRE36"/>
      <c r="GRF36"/>
      <c r="GRG36"/>
      <c r="GRH36"/>
      <c r="GRI36"/>
      <c r="GRJ36"/>
      <c r="GRK36"/>
      <c r="GRL36"/>
      <c r="GRM36"/>
      <c r="GRN36"/>
      <c r="GRO36"/>
      <c r="GRP36"/>
      <c r="GRQ36"/>
      <c r="GRR36"/>
      <c r="GRS36"/>
      <c r="GRT36"/>
      <c r="GRU36"/>
      <c r="GRV36"/>
      <c r="GRW36"/>
      <c r="GRX36"/>
      <c r="GRY36"/>
      <c r="GRZ36"/>
      <c r="GSA36"/>
      <c r="GSB36"/>
      <c r="GSC36"/>
      <c r="GSD36"/>
      <c r="GSE36"/>
      <c r="GSF36"/>
      <c r="GSG36"/>
      <c r="GSH36"/>
      <c r="GSI36"/>
      <c r="GSJ36"/>
      <c r="GSK36"/>
      <c r="GSL36"/>
      <c r="GSM36"/>
      <c r="GSN36"/>
      <c r="GSO36"/>
      <c r="GSP36"/>
      <c r="GSQ36"/>
      <c r="GSR36"/>
      <c r="GSS36"/>
      <c r="GST36"/>
      <c r="GSU36"/>
      <c r="GSV36"/>
      <c r="GSW36"/>
      <c r="GSX36"/>
      <c r="GSY36"/>
      <c r="GSZ36"/>
      <c r="GTA36"/>
      <c r="GTB36"/>
      <c r="GTC36"/>
      <c r="GTD36"/>
      <c r="GTE36"/>
      <c r="GTF36"/>
      <c r="GTG36"/>
      <c r="GTH36"/>
      <c r="GTI36"/>
      <c r="GTJ36"/>
      <c r="GTK36"/>
      <c r="GTL36"/>
      <c r="GTM36"/>
      <c r="GTN36"/>
      <c r="GTO36"/>
      <c r="GTP36"/>
      <c r="GTQ36"/>
      <c r="GTR36"/>
      <c r="GTS36"/>
      <c r="GTT36"/>
      <c r="GTU36"/>
      <c r="GTV36"/>
      <c r="GTW36"/>
      <c r="GTX36"/>
      <c r="GTY36"/>
      <c r="GTZ36"/>
      <c r="GUA36"/>
      <c r="GUB36"/>
      <c r="GUC36"/>
      <c r="GUD36"/>
      <c r="GUE36"/>
      <c r="GUF36"/>
      <c r="GUG36"/>
      <c r="GUH36"/>
      <c r="GUI36"/>
      <c r="GUJ36"/>
      <c r="GUK36"/>
      <c r="GUL36"/>
      <c r="GUM36"/>
      <c r="GUN36"/>
      <c r="GUO36"/>
      <c r="GUP36"/>
      <c r="GUQ36"/>
      <c r="GUR36"/>
      <c r="GUS36"/>
      <c r="GUT36"/>
      <c r="GUU36"/>
      <c r="GUV36"/>
      <c r="GUW36"/>
      <c r="GUX36"/>
      <c r="GUY36"/>
      <c r="GUZ36"/>
      <c r="GVA36"/>
      <c r="GVB36"/>
      <c r="GVC36"/>
      <c r="GVD36"/>
      <c r="GVE36"/>
      <c r="GVF36"/>
      <c r="GVG36"/>
      <c r="GVH36"/>
      <c r="GVI36"/>
      <c r="GVJ36"/>
      <c r="GVK36"/>
      <c r="GVL36"/>
      <c r="GVM36"/>
      <c r="GVN36"/>
      <c r="GVO36"/>
      <c r="GVP36"/>
      <c r="GVQ36"/>
      <c r="GVR36"/>
      <c r="GVS36"/>
      <c r="GVT36"/>
      <c r="GVU36"/>
      <c r="GVV36"/>
      <c r="GVW36"/>
      <c r="GVX36"/>
      <c r="GVY36"/>
      <c r="GVZ36"/>
      <c r="GWA36"/>
      <c r="GWB36"/>
      <c r="GWC36"/>
      <c r="GWD36"/>
      <c r="GWE36"/>
      <c r="GWF36"/>
      <c r="GWG36"/>
      <c r="GWH36"/>
      <c r="GWI36"/>
      <c r="GWJ36"/>
      <c r="GWK36"/>
      <c r="GWL36"/>
      <c r="GWM36"/>
      <c r="GWN36"/>
      <c r="GWO36"/>
      <c r="GWP36"/>
      <c r="GWQ36"/>
      <c r="GWR36"/>
      <c r="GWS36"/>
      <c r="GWT36"/>
      <c r="GWU36"/>
      <c r="GWV36"/>
      <c r="GWW36"/>
      <c r="GWX36"/>
      <c r="GWY36"/>
      <c r="GWZ36"/>
      <c r="GXA36"/>
      <c r="GXB36"/>
      <c r="GXC36"/>
      <c r="GXD36"/>
      <c r="GXE36"/>
      <c r="GXF36"/>
      <c r="GXG36"/>
      <c r="GXH36"/>
      <c r="GXI36"/>
      <c r="GXJ36"/>
      <c r="GXK36"/>
      <c r="GXL36"/>
      <c r="GXM36"/>
      <c r="GXN36"/>
      <c r="GXO36"/>
      <c r="GXP36"/>
      <c r="GXQ36"/>
      <c r="GXR36"/>
      <c r="GXS36"/>
      <c r="GXT36"/>
      <c r="GXU36"/>
      <c r="GXV36"/>
      <c r="GXW36"/>
      <c r="GXX36"/>
      <c r="GXY36"/>
      <c r="GXZ36"/>
      <c r="GYA36"/>
      <c r="GYB36"/>
      <c r="GYC36"/>
      <c r="GYD36"/>
      <c r="GYE36"/>
      <c r="GYF36"/>
      <c r="GYG36"/>
      <c r="GYH36"/>
      <c r="GYI36"/>
      <c r="GYJ36"/>
      <c r="GYK36"/>
      <c r="GYL36"/>
      <c r="GYM36"/>
      <c r="GYN36"/>
      <c r="GYO36"/>
      <c r="GYP36"/>
      <c r="GYQ36"/>
      <c r="GYR36"/>
      <c r="GYS36"/>
      <c r="GYT36"/>
      <c r="GYU36"/>
      <c r="GYV36"/>
      <c r="GYW36"/>
      <c r="GYX36"/>
      <c r="GYY36"/>
      <c r="GYZ36"/>
      <c r="GZA36"/>
      <c r="GZB36"/>
      <c r="GZC36"/>
      <c r="GZD36"/>
      <c r="GZE36"/>
      <c r="GZF36"/>
      <c r="GZG36"/>
      <c r="GZH36"/>
      <c r="GZI36"/>
      <c r="GZJ36"/>
      <c r="GZK36"/>
      <c r="GZL36"/>
      <c r="GZM36"/>
      <c r="GZN36"/>
      <c r="GZO36"/>
      <c r="GZP36"/>
      <c r="GZQ36"/>
      <c r="GZR36"/>
      <c r="GZS36"/>
      <c r="GZT36"/>
      <c r="GZU36"/>
      <c r="GZV36"/>
      <c r="GZW36"/>
      <c r="GZX36"/>
      <c r="GZY36"/>
      <c r="GZZ36"/>
      <c r="HAA36"/>
      <c r="HAB36"/>
      <c r="HAC36"/>
      <c r="HAD36"/>
      <c r="HAE36"/>
      <c r="HAF36"/>
      <c r="HAG36"/>
      <c r="HAH36"/>
      <c r="HAI36"/>
      <c r="HAJ36"/>
      <c r="HAK36"/>
      <c r="HAL36"/>
      <c r="HAM36"/>
      <c r="HAN36"/>
      <c r="HAO36"/>
      <c r="HAP36"/>
      <c r="HAQ36"/>
      <c r="HAR36"/>
      <c r="HAS36"/>
      <c r="HAT36"/>
      <c r="HAU36"/>
      <c r="HAV36"/>
      <c r="HAW36"/>
      <c r="HAX36"/>
      <c r="HAY36"/>
      <c r="HAZ36"/>
      <c r="HBA36"/>
      <c r="HBB36"/>
      <c r="HBC36"/>
      <c r="HBD36"/>
      <c r="HBE36"/>
      <c r="HBF36"/>
      <c r="HBG36"/>
      <c r="HBH36"/>
      <c r="HBI36"/>
      <c r="HBJ36"/>
      <c r="HBK36"/>
      <c r="HBL36"/>
      <c r="HBM36"/>
      <c r="HBN36"/>
      <c r="HBO36"/>
      <c r="HBP36"/>
      <c r="HBQ36"/>
      <c r="HBR36"/>
      <c r="HBS36"/>
      <c r="HBT36"/>
      <c r="HBU36"/>
      <c r="HBV36"/>
      <c r="HBW36"/>
      <c r="HBX36"/>
      <c r="HBY36"/>
      <c r="HBZ36"/>
      <c r="HCA36"/>
      <c r="HCB36"/>
      <c r="HCC36"/>
      <c r="HCD36"/>
      <c r="HCE36"/>
      <c r="HCF36"/>
      <c r="HCG36"/>
      <c r="HCH36"/>
      <c r="HCI36"/>
      <c r="HCJ36"/>
      <c r="HCK36"/>
      <c r="HCL36"/>
      <c r="HCM36"/>
      <c r="HCN36"/>
      <c r="HCO36"/>
      <c r="HCP36"/>
      <c r="HCQ36"/>
      <c r="HCR36"/>
      <c r="HCS36"/>
      <c r="HCT36"/>
      <c r="HCU36"/>
      <c r="HCV36"/>
      <c r="HCW36"/>
      <c r="HCX36"/>
      <c r="HCY36"/>
      <c r="HCZ36"/>
      <c r="HDA36"/>
      <c r="HDB36"/>
      <c r="HDC36"/>
      <c r="HDD36"/>
      <c r="HDE36"/>
      <c r="HDF36"/>
      <c r="HDG36"/>
      <c r="HDH36"/>
      <c r="HDI36"/>
      <c r="HDJ36"/>
      <c r="HDK36"/>
      <c r="HDL36"/>
      <c r="HDM36"/>
      <c r="HDN36"/>
      <c r="HDO36"/>
      <c r="HDP36"/>
      <c r="HDQ36"/>
      <c r="HDR36"/>
      <c r="HDS36"/>
      <c r="HDT36"/>
      <c r="HDU36"/>
      <c r="HDV36"/>
      <c r="HDW36"/>
      <c r="HDX36"/>
      <c r="HDY36"/>
      <c r="HDZ36"/>
      <c r="HEA36"/>
      <c r="HEB36"/>
      <c r="HEC36"/>
      <c r="HED36"/>
      <c r="HEE36"/>
      <c r="HEF36"/>
      <c r="HEG36"/>
      <c r="HEH36"/>
      <c r="HEI36"/>
      <c r="HEJ36"/>
      <c r="HEK36"/>
      <c r="HEL36"/>
      <c r="HEM36"/>
      <c r="HEN36"/>
      <c r="HEO36"/>
      <c r="HEP36"/>
      <c r="HEQ36"/>
      <c r="HER36"/>
      <c r="HES36"/>
      <c r="HET36"/>
      <c r="HEU36"/>
      <c r="HEV36"/>
      <c r="HEW36"/>
      <c r="HEX36"/>
      <c r="HEY36"/>
      <c r="HEZ36"/>
      <c r="HFA36"/>
      <c r="HFB36"/>
      <c r="HFC36"/>
      <c r="HFD36"/>
      <c r="HFE36"/>
      <c r="HFF36"/>
      <c r="HFG36"/>
      <c r="HFH36"/>
      <c r="HFI36"/>
      <c r="HFJ36"/>
      <c r="HFK36"/>
      <c r="HFL36"/>
      <c r="HFM36"/>
      <c r="HFN36"/>
      <c r="HFO36"/>
      <c r="HFP36"/>
      <c r="HFQ36"/>
      <c r="HFR36"/>
      <c r="HFS36"/>
      <c r="HFT36"/>
      <c r="HFU36"/>
      <c r="HFV36"/>
      <c r="HFW36"/>
      <c r="HFX36"/>
      <c r="HFY36"/>
      <c r="HFZ36"/>
      <c r="HGA36"/>
      <c r="HGB36"/>
      <c r="HGC36"/>
      <c r="HGD36"/>
      <c r="HGE36"/>
      <c r="HGF36"/>
      <c r="HGG36"/>
      <c r="HGH36"/>
      <c r="HGI36"/>
      <c r="HGJ36"/>
      <c r="HGK36"/>
      <c r="HGL36"/>
      <c r="HGM36"/>
      <c r="HGN36"/>
      <c r="HGO36"/>
      <c r="HGP36"/>
      <c r="HGQ36"/>
      <c r="HGR36"/>
      <c r="HGS36"/>
      <c r="HGT36"/>
      <c r="HGU36"/>
      <c r="HGV36"/>
      <c r="HGW36"/>
      <c r="HGX36"/>
      <c r="HGY36"/>
      <c r="HGZ36"/>
      <c r="HHA36"/>
      <c r="HHB36"/>
      <c r="HHC36"/>
      <c r="HHD36"/>
      <c r="HHE36"/>
      <c r="HHF36"/>
      <c r="HHG36"/>
      <c r="HHH36"/>
      <c r="HHI36"/>
      <c r="HHJ36"/>
      <c r="HHK36"/>
      <c r="HHL36"/>
      <c r="HHM36"/>
      <c r="HHN36"/>
      <c r="HHO36"/>
      <c r="HHP36"/>
      <c r="HHQ36"/>
      <c r="HHR36"/>
      <c r="HHS36"/>
      <c r="HHT36"/>
      <c r="HHU36"/>
      <c r="HHV36"/>
      <c r="HHW36"/>
      <c r="HHX36"/>
      <c r="HHY36"/>
      <c r="HHZ36"/>
      <c r="HIA36"/>
      <c r="HIB36"/>
      <c r="HIC36"/>
      <c r="HID36"/>
      <c r="HIE36"/>
      <c r="HIF36"/>
      <c r="HIG36"/>
      <c r="HIH36"/>
      <c r="HII36"/>
      <c r="HIJ36"/>
      <c r="HIK36"/>
      <c r="HIL36"/>
      <c r="HIM36"/>
      <c r="HIN36"/>
      <c r="HIO36"/>
      <c r="HIP36"/>
      <c r="HIQ36"/>
      <c r="HIR36"/>
      <c r="HIS36"/>
      <c r="HIT36"/>
      <c r="HIU36"/>
      <c r="HIV36"/>
      <c r="HIW36"/>
      <c r="HIX36"/>
      <c r="HIY36"/>
      <c r="HIZ36"/>
      <c r="HJA36"/>
      <c r="HJB36"/>
      <c r="HJC36"/>
      <c r="HJD36"/>
      <c r="HJE36"/>
      <c r="HJF36"/>
      <c r="HJG36"/>
      <c r="HJH36"/>
      <c r="HJI36"/>
      <c r="HJJ36"/>
      <c r="HJK36"/>
      <c r="HJL36"/>
      <c r="HJM36"/>
      <c r="HJN36"/>
      <c r="HJO36"/>
      <c r="HJP36"/>
      <c r="HJQ36"/>
      <c r="HJR36"/>
      <c r="HJS36"/>
      <c r="HJT36"/>
      <c r="HJU36"/>
      <c r="HJV36"/>
      <c r="HJW36"/>
      <c r="HJX36"/>
      <c r="HJY36"/>
      <c r="HJZ36"/>
      <c r="HKA36"/>
      <c r="HKB36"/>
      <c r="HKC36"/>
      <c r="HKD36"/>
      <c r="HKE36"/>
      <c r="HKF36"/>
      <c r="HKG36"/>
      <c r="HKH36"/>
      <c r="HKI36"/>
      <c r="HKJ36"/>
      <c r="HKK36"/>
      <c r="HKL36"/>
      <c r="HKM36"/>
      <c r="HKN36"/>
      <c r="HKO36"/>
      <c r="HKP36"/>
      <c r="HKQ36"/>
      <c r="HKR36"/>
      <c r="HKS36"/>
      <c r="HKT36"/>
      <c r="HKU36"/>
      <c r="HKV36"/>
      <c r="HKW36"/>
      <c r="HKX36"/>
      <c r="HKY36"/>
      <c r="HKZ36"/>
      <c r="HLA36"/>
      <c r="HLB36"/>
      <c r="HLC36"/>
      <c r="HLD36"/>
      <c r="HLE36"/>
      <c r="HLF36"/>
      <c r="HLG36"/>
      <c r="HLH36"/>
      <c r="HLI36"/>
      <c r="HLJ36"/>
      <c r="HLK36"/>
      <c r="HLL36"/>
      <c r="HLM36"/>
      <c r="HLN36"/>
      <c r="HLO36"/>
      <c r="HLP36"/>
      <c r="HLQ36"/>
      <c r="HLR36"/>
      <c r="HLS36"/>
      <c r="HLT36"/>
      <c r="HLU36"/>
      <c r="HLV36"/>
      <c r="HLW36"/>
      <c r="HLX36"/>
      <c r="HLY36"/>
      <c r="HLZ36"/>
      <c r="HMA36"/>
      <c r="HMB36"/>
      <c r="HMC36"/>
      <c r="HMD36"/>
      <c r="HME36"/>
      <c r="HMF36"/>
      <c r="HMG36"/>
      <c r="HMH36"/>
      <c r="HMI36"/>
      <c r="HMJ36"/>
      <c r="HMK36"/>
      <c r="HML36"/>
      <c r="HMM36"/>
      <c r="HMN36"/>
      <c r="HMO36"/>
      <c r="HMP36"/>
      <c r="HMQ36"/>
      <c r="HMR36"/>
      <c r="HMS36"/>
      <c r="HMT36"/>
      <c r="HMU36"/>
      <c r="HMV36"/>
      <c r="HMW36"/>
      <c r="HMX36"/>
      <c r="HMY36"/>
      <c r="HMZ36"/>
      <c r="HNA36"/>
      <c r="HNB36"/>
      <c r="HNC36"/>
      <c r="HND36"/>
      <c r="HNE36"/>
      <c r="HNF36"/>
      <c r="HNG36"/>
      <c r="HNH36"/>
      <c r="HNI36"/>
      <c r="HNJ36"/>
      <c r="HNK36"/>
      <c r="HNL36"/>
      <c r="HNM36"/>
      <c r="HNN36"/>
      <c r="HNO36"/>
      <c r="HNP36"/>
      <c r="HNQ36"/>
      <c r="HNR36"/>
      <c r="HNS36"/>
      <c r="HNT36"/>
      <c r="HNU36"/>
      <c r="HNV36"/>
      <c r="HNW36"/>
      <c r="HNX36"/>
      <c r="HNY36"/>
      <c r="HNZ36"/>
      <c r="HOA36"/>
      <c r="HOB36"/>
      <c r="HOC36"/>
      <c r="HOD36"/>
      <c r="HOE36"/>
      <c r="HOF36"/>
      <c r="HOG36"/>
      <c r="HOH36"/>
      <c r="HOI36"/>
      <c r="HOJ36"/>
      <c r="HOK36"/>
      <c r="HOL36"/>
      <c r="HOM36"/>
      <c r="HON36"/>
      <c r="HOO36"/>
      <c r="HOP36"/>
      <c r="HOQ36"/>
      <c r="HOR36"/>
      <c r="HOS36"/>
      <c r="HOT36"/>
      <c r="HOU36"/>
      <c r="HOV36"/>
      <c r="HOW36"/>
      <c r="HOX36"/>
      <c r="HOY36"/>
      <c r="HOZ36"/>
      <c r="HPA36"/>
      <c r="HPB36"/>
      <c r="HPC36"/>
      <c r="HPD36"/>
      <c r="HPE36"/>
      <c r="HPF36"/>
      <c r="HPG36"/>
      <c r="HPH36"/>
      <c r="HPI36"/>
      <c r="HPJ36"/>
      <c r="HPK36"/>
      <c r="HPL36"/>
      <c r="HPM36"/>
      <c r="HPN36"/>
      <c r="HPO36"/>
      <c r="HPP36"/>
      <c r="HPQ36"/>
      <c r="HPR36"/>
      <c r="HPS36"/>
      <c r="HPT36"/>
      <c r="HPU36"/>
      <c r="HPV36"/>
      <c r="HPW36"/>
      <c r="HPX36"/>
      <c r="HPY36"/>
      <c r="HPZ36"/>
      <c r="HQA36"/>
      <c r="HQB36"/>
      <c r="HQC36"/>
      <c r="HQD36"/>
      <c r="HQE36"/>
      <c r="HQF36"/>
      <c r="HQG36"/>
      <c r="HQH36"/>
      <c r="HQI36"/>
      <c r="HQJ36"/>
      <c r="HQK36"/>
      <c r="HQL36"/>
      <c r="HQM36"/>
      <c r="HQN36"/>
      <c r="HQO36"/>
      <c r="HQP36"/>
      <c r="HQQ36"/>
      <c r="HQR36"/>
      <c r="HQS36"/>
      <c r="HQT36"/>
      <c r="HQU36"/>
      <c r="HQV36"/>
      <c r="HQW36"/>
      <c r="HQX36"/>
      <c r="HQY36"/>
      <c r="HQZ36"/>
      <c r="HRA36"/>
      <c r="HRB36"/>
      <c r="HRC36"/>
      <c r="HRD36"/>
      <c r="HRE36"/>
      <c r="HRF36"/>
      <c r="HRG36"/>
      <c r="HRH36"/>
      <c r="HRI36"/>
      <c r="HRJ36"/>
      <c r="HRK36"/>
      <c r="HRL36"/>
      <c r="HRM36"/>
      <c r="HRN36"/>
      <c r="HRO36"/>
      <c r="HRP36"/>
      <c r="HRQ36"/>
      <c r="HRR36"/>
      <c r="HRS36"/>
      <c r="HRT36"/>
      <c r="HRU36"/>
      <c r="HRV36"/>
      <c r="HRW36"/>
      <c r="HRX36"/>
      <c r="HRY36"/>
      <c r="HRZ36"/>
      <c r="HSA36"/>
      <c r="HSB36"/>
      <c r="HSC36"/>
      <c r="HSD36"/>
      <c r="HSE36"/>
      <c r="HSF36"/>
      <c r="HSG36"/>
      <c r="HSH36"/>
      <c r="HSI36"/>
      <c r="HSJ36"/>
      <c r="HSK36"/>
      <c r="HSL36"/>
      <c r="HSM36"/>
      <c r="HSN36"/>
      <c r="HSO36"/>
      <c r="HSP36"/>
      <c r="HSQ36"/>
      <c r="HSR36"/>
      <c r="HSS36"/>
      <c r="HST36"/>
      <c r="HSU36"/>
      <c r="HSV36"/>
      <c r="HSW36"/>
      <c r="HSX36"/>
      <c r="HSY36"/>
      <c r="HSZ36"/>
      <c r="HTA36"/>
      <c r="HTB36"/>
      <c r="HTC36"/>
      <c r="HTD36"/>
      <c r="HTE36"/>
      <c r="HTF36"/>
      <c r="HTG36"/>
      <c r="HTH36"/>
      <c r="HTI36"/>
      <c r="HTJ36"/>
      <c r="HTK36"/>
      <c r="HTL36"/>
      <c r="HTM36"/>
      <c r="HTN36"/>
      <c r="HTO36"/>
      <c r="HTP36"/>
      <c r="HTQ36"/>
      <c r="HTR36"/>
      <c r="HTS36"/>
      <c r="HTT36"/>
      <c r="HTU36"/>
      <c r="HTV36"/>
      <c r="HTW36"/>
      <c r="HTX36"/>
      <c r="HTY36"/>
      <c r="HTZ36"/>
      <c r="HUA36"/>
      <c r="HUB36"/>
      <c r="HUC36"/>
      <c r="HUD36"/>
      <c r="HUE36"/>
      <c r="HUF36"/>
      <c r="HUG36"/>
      <c r="HUH36"/>
      <c r="HUI36"/>
      <c r="HUJ36"/>
      <c r="HUK36"/>
      <c r="HUL36"/>
      <c r="HUM36"/>
      <c r="HUN36"/>
      <c r="HUO36"/>
      <c r="HUP36"/>
      <c r="HUQ36"/>
      <c r="HUR36"/>
      <c r="HUS36"/>
      <c r="HUT36"/>
      <c r="HUU36"/>
      <c r="HUV36"/>
      <c r="HUW36"/>
      <c r="HUX36"/>
      <c r="HUY36"/>
      <c r="HUZ36"/>
      <c r="HVA36"/>
      <c r="HVB36"/>
      <c r="HVC36"/>
      <c r="HVD36"/>
      <c r="HVE36"/>
      <c r="HVF36"/>
      <c r="HVG36"/>
      <c r="HVH36"/>
      <c r="HVI36"/>
      <c r="HVJ36"/>
      <c r="HVK36"/>
      <c r="HVL36"/>
      <c r="HVM36"/>
      <c r="HVN36"/>
      <c r="HVO36"/>
      <c r="HVP36"/>
      <c r="HVQ36"/>
      <c r="HVR36"/>
      <c r="HVS36"/>
      <c r="HVT36"/>
      <c r="HVU36"/>
      <c r="HVV36"/>
      <c r="HVW36"/>
      <c r="HVX36"/>
      <c r="HVY36"/>
      <c r="HVZ36"/>
      <c r="HWA36"/>
      <c r="HWB36"/>
      <c r="HWC36"/>
      <c r="HWD36"/>
      <c r="HWE36"/>
      <c r="HWF36"/>
      <c r="HWG36"/>
      <c r="HWH36"/>
      <c r="HWI36"/>
      <c r="HWJ36"/>
      <c r="HWK36"/>
      <c r="HWL36"/>
      <c r="HWM36"/>
      <c r="HWN36"/>
      <c r="HWO36"/>
      <c r="HWP36"/>
      <c r="HWQ36"/>
      <c r="HWR36"/>
      <c r="HWS36"/>
      <c r="HWT36"/>
      <c r="HWU36"/>
      <c r="HWV36"/>
      <c r="HWW36"/>
      <c r="HWX36"/>
      <c r="HWY36"/>
      <c r="HWZ36"/>
      <c r="HXA36"/>
      <c r="HXB36"/>
      <c r="HXC36"/>
      <c r="HXD36"/>
      <c r="HXE36"/>
      <c r="HXF36"/>
      <c r="HXG36"/>
      <c r="HXH36"/>
      <c r="HXI36"/>
      <c r="HXJ36"/>
      <c r="HXK36"/>
      <c r="HXL36"/>
      <c r="HXM36"/>
      <c r="HXN36"/>
      <c r="HXO36"/>
      <c r="HXP36"/>
      <c r="HXQ36"/>
      <c r="HXR36"/>
      <c r="HXS36"/>
      <c r="HXT36"/>
      <c r="HXU36"/>
      <c r="HXV36"/>
      <c r="HXW36"/>
      <c r="HXX36"/>
      <c r="HXY36"/>
      <c r="HXZ36"/>
      <c r="HYA36"/>
      <c r="HYB36"/>
      <c r="HYC36"/>
      <c r="HYD36"/>
      <c r="HYE36"/>
      <c r="HYF36"/>
      <c r="HYG36"/>
      <c r="HYH36"/>
      <c r="HYI36"/>
      <c r="HYJ36"/>
      <c r="HYK36"/>
      <c r="HYL36"/>
      <c r="HYM36"/>
      <c r="HYN36"/>
      <c r="HYO36"/>
      <c r="HYP36"/>
      <c r="HYQ36"/>
      <c r="HYR36"/>
      <c r="HYS36"/>
      <c r="HYT36"/>
      <c r="HYU36"/>
      <c r="HYV36"/>
      <c r="HYW36"/>
      <c r="HYX36"/>
      <c r="HYY36"/>
      <c r="HYZ36"/>
      <c r="HZA36"/>
      <c r="HZB36"/>
      <c r="HZC36"/>
      <c r="HZD36"/>
      <c r="HZE36"/>
      <c r="HZF36"/>
      <c r="HZG36"/>
      <c r="HZH36"/>
      <c r="HZI36"/>
      <c r="HZJ36"/>
      <c r="HZK36"/>
      <c r="HZL36"/>
      <c r="HZM36"/>
      <c r="HZN36"/>
      <c r="HZO36"/>
      <c r="HZP36"/>
      <c r="HZQ36"/>
      <c r="HZR36"/>
      <c r="HZS36"/>
      <c r="HZT36"/>
      <c r="HZU36"/>
      <c r="HZV36"/>
      <c r="HZW36"/>
      <c r="HZX36"/>
      <c r="HZY36"/>
      <c r="HZZ36"/>
      <c r="IAA36"/>
      <c r="IAB36"/>
      <c r="IAC36"/>
      <c r="IAD36"/>
      <c r="IAE36"/>
      <c r="IAF36"/>
      <c r="IAG36"/>
      <c r="IAH36"/>
      <c r="IAI36"/>
      <c r="IAJ36"/>
      <c r="IAK36"/>
      <c r="IAL36"/>
      <c r="IAM36"/>
      <c r="IAN36"/>
      <c r="IAO36"/>
      <c r="IAP36"/>
      <c r="IAQ36"/>
      <c r="IAR36"/>
      <c r="IAS36"/>
      <c r="IAT36"/>
      <c r="IAU36"/>
      <c r="IAV36"/>
      <c r="IAW36"/>
      <c r="IAX36"/>
      <c r="IAY36"/>
      <c r="IAZ36"/>
      <c r="IBA36"/>
      <c r="IBB36"/>
      <c r="IBC36"/>
      <c r="IBD36"/>
      <c r="IBE36"/>
      <c r="IBF36"/>
      <c r="IBG36"/>
      <c r="IBH36"/>
      <c r="IBI36"/>
      <c r="IBJ36"/>
      <c r="IBK36"/>
      <c r="IBL36"/>
      <c r="IBM36"/>
      <c r="IBN36"/>
      <c r="IBO36"/>
      <c r="IBP36"/>
      <c r="IBQ36"/>
      <c r="IBR36"/>
      <c r="IBS36"/>
      <c r="IBT36"/>
      <c r="IBU36"/>
      <c r="IBV36"/>
      <c r="IBW36"/>
      <c r="IBX36"/>
      <c r="IBY36"/>
      <c r="IBZ36"/>
      <c r="ICA36"/>
      <c r="ICB36"/>
      <c r="ICC36"/>
      <c r="ICD36"/>
      <c r="ICE36"/>
      <c r="ICF36"/>
      <c r="ICG36"/>
      <c r="ICH36"/>
      <c r="ICI36"/>
      <c r="ICJ36"/>
      <c r="ICK36"/>
      <c r="ICL36"/>
      <c r="ICM36"/>
      <c r="ICN36"/>
      <c r="ICO36"/>
      <c r="ICP36"/>
      <c r="ICQ36"/>
      <c r="ICR36"/>
      <c r="ICS36"/>
      <c r="ICT36"/>
      <c r="ICU36"/>
      <c r="ICV36"/>
      <c r="ICW36"/>
      <c r="ICX36"/>
      <c r="ICY36"/>
      <c r="ICZ36"/>
      <c r="IDA36"/>
      <c r="IDB36"/>
      <c r="IDC36"/>
      <c r="IDD36"/>
      <c r="IDE36"/>
      <c r="IDF36"/>
      <c r="IDG36"/>
      <c r="IDH36"/>
      <c r="IDI36"/>
      <c r="IDJ36"/>
      <c r="IDK36"/>
      <c r="IDL36"/>
      <c r="IDM36"/>
      <c r="IDN36"/>
      <c r="IDO36"/>
      <c r="IDP36"/>
      <c r="IDQ36"/>
      <c r="IDR36"/>
      <c r="IDS36"/>
      <c r="IDT36"/>
      <c r="IDU36"/>
      <c r="IDV36"/>
      <c r="IDW36"/>
      <c r="IDX36"/>
      <c r="IDY36"/>
      <c r="IDZ36"/>
      <c r="IEA36"/>
      <c r="IEB36"/>
      <c r="IEC36"/>
      <c r="IED36"/>
      <c r="IEE36"/>
      <c r="IEF36"/>
      <c r="IEG36"/>
      <c r="IEH36"/>
      <c r="IEI36"/>
      <c r="IEJ36"/>
      <c r="IEK36"/>
      <c r="IEL36"/>
      <c r="IEM36"/>
      <c r="IEN36"/>
      <c r="IEO36"/>
      <c r="IEP36"/>
      <c r="IEQ36"/>
      <c r="IER36"/>
      <c r="IES36"/>
      <c r="IET36"/>
      <c r="IEU36"/>
      <c r="IEV36"/>
      <c r="IEW36"/>
      <c r="IEX36"/>
      <c r="IEY36"/>
      <c r="IEZ36"/>
      <c r="IFA36"/>
      <c r="IFB36"/>
      <c r="IFC36"/>
      <c r="IFD36"/>
      <c r="IFE36"/>
      <c r="IFF36"/>
      <c r="IFG36"/>
      <c r="IFH36"/>
      <c r="IFI36"/>
      <c r="IFJ36"/>
      <c r="IFK36"/>
      <c r="IFL36"/>
      <c r="IFM36"/>
      <c r="IFN36"/>
      <c r="IFO36"/>
      <c r="IFP36"/>
      <c r="IFQ36"/>
      <c r="IFR36"/>
      <c r="IFS36"/>
      <c r="IFT36"/>
      <c r="IFU36"/>
      <c r="IFV36"/>
      <c r="IFW36"/>
      <c r="IFX36"/>
      <c r="IFY36"/>
      <c r="IFZ36"/>
      <c r="IGA36"/>
      <c r="IGB36"/>
      <c r="IGC36"/>
      <c r="IGD36"/>
      <c r="IGE36"/>
      <c r="IGF36"/>
      <c r="IGG36"/>
      <c r="IGH36"/>
      <c r="IGI36"/>
      <c r="IGJ36"/>
      <c r="IGK36"/>
      <c r="IGL36"/>
      <c r="IGM36"/>
      <c r="IGN36"/>
      <c r="IGO36"/>
      <c r="IGP36"/>
      <c r="IGQ36"/>
      <c r="IGR36"/>
      <c r="IGS36"/>
      <c r="IGT36"/>
      <c r="IGU36"/>
      <c r="IGV36"/>
      <c r="IGW36"/>
      <c r="IGX36"/>
      <c r="IGY36"/>
      <c r="IGZ36"/>
      <c r="IHA36"/>
      <c r="IHB36"/>
      <c r="IHC36"/>
      <c r="IHD36"/>
      <c r="IHE36"/>
      <c r="IHF36"/>
      <c r="IHG36"/>
      <c r="IHH36"/>
      <c r="IHI36"/>
      <c r="IHJ36"/>
      <c r="IHK36"/>
      <c r="IHL36"/>
      <c r="IHM36"/>
      <c r="IHN36"/>
      <c r="IHO36"/>
      <c r="IHP36"/>
      <c r="IHQ36"/>
      <c r="IHR36"/>
      <c r="IHS36"/>
      <c r="IHT36"/>
      <c r="IHU36"/>
      <c r="IHV36"/>
      <c r="IHW36"/>
      <c r="IHX36"/>
      <c r="IHY36"/>
      <c r="IHZ36"/>
      <c r="IIA36"/>
      <c r="IIB36"/>
      <c r="IIC36"/>
      <c r="IID36"/>
      <c r="IIE36"/>
      <c r="IIF36"/>
      <c r="IIG36"/>
      <c r="IIH36"/>
      <c r="III36"/>
      <c r="IIJ36"/>
      <c r="IIK36"/>
      <c r="IIL36"/>
      <c r="IIM36"/>
      <c r="IIN36"/>
      <c r="IIO36"/>
      <c r="IIP36"/>
      <c r="IIQ36"/>
      <c r="IIR36"/>
      <c r="IIS36"/>
      <c r="IIT36"/>
      <c r="IIU36"/>
      <c r="IIV36"/>
      <c r="IIW36"/>
      <c r="IIX36"/>
      <c r="IIY36"/>
      <c r="IIZ36"/>
      <c r="IJA36"/>
      <c r="IJB36"/>
      <c r="IJC36"/>
      <c r="IJD36"/>
      <c r="IJE36"/>
      <c r="IJF36"/>
      <c r="IJG36"/>
      <c r="IJH36"/>
      <c r="IJI36"/>
      <c r="IJJ36"/>
      <c r="IJK36"/>
      <c r="IJL36"/>
      <c r="IJM36"/>
      <c r="IJN36"/>
      <c r="IJO36"/>
      <c r="IJP36"/>
      <c r="IJQ36"/>
      <c r="IJR36"/>
      <c r="IJS36"/>
      <c r="IJT36"/>
      <c r="IJU36"/>
      <c r="IJV36"/>
      <c r="IJW36"/>
      <c r="IJX36"/>
      <c r="IJY36"/>
      <c r="IJZ36"/>
      <c r="IKA36"/>
      <c r="IKB36"/>
      <c r="IKC36"/>
      <c r="IKD36"/>
      <c r="IKE36"/>
      <c r="IKF36"/>
      <c r="IKG36"/>
      <c r="IKH36"/>
      <c r="IKI36"/>
      <c r="IKJ36"/>
      <c r="IKK36"/>
      <c r="IKL36"/>
      <c r="IKM36"/>
      <c r="IKN36"/>
      <c r="IKO36"/>
      <c r="IKP36"/>
      <c r="IKQ36"/>
      <c r="IKR36"/>
      <c r="IKS36"/>
      <c r="IKT36"/>
      <c r="IKU36"/>
      <c r="IKV36"/>
      <c r="IKW36"/>
      <c r="IKX36"/>
      <c r="IKY36"/>
      <c r="IKZ36"/>
      <c r="ILA36"/>
      <c r="ILB36"/>
      <c r="ILC36"/>
      <c r="ILD36"/>
      <c r="ILE36"/>
      <c r="ILF36"/>
      <c r="ILG36"/>
      <c r="ILH36"/>
      <c r="ILI36"/>
      <c r="ILJ36"/>
      <c r="ILK36"/>
      <c r="ILL36"/>
      <c r="ILM36"/>
      <c r="ILN36"/>
      <c r="ILO36"/>
      <c r="ILP36"/>
      <c r="ILQ36"/>
      <c r="ILR36"/>
      <c r="ILS36"/>
      <c r="ILT36"/>
      <c r="ILU36"/>
      <c r="ILV36"/>
      <c r="ILW36"/>
      <c r="ILX36"/>
      <c r="ILY36"/>
      <c r="ILZ36"/>
      <c r="IMA36"/>
      <c r="IMB36"/>
      <c r="IMC36"/>
      <c r="IMD36"/>
      <c r="IME36"/>
      <c r="IMF36"/>
      <c r="IMG36"/>
      <c r="IMH36"/>
      <c r="IMI36"/>
      <c r="IMJ36"/>
      <c r="IMK36"/>
      <c r="IML36"/>
      <c r="IMM36"/>
      <c r="IMN36"/>
      <c r="IMO36"/>
      <c r="IMP36"/>
      <c r="IMQ36"/>
      <c r="IMR36"/>
      <c r="IMS36"/>
      <c r="IMT36"/>
      <c r="IMU36"/>
      <c r="IMV36"/>
      <c r="IMW36"/>
      <c r="IMX36"/>
      <c r="IMY36"/>
      <c r="IMZ36"/>
      <c r="INA36"/>
      <c r="INB36"/>
      <c r="INC36"/>
      <c r="IND36"/>
      <c r="INE36"/>
      <c r="INF36"/>
      <c r="ING36"/>
      <c r="INH36"/>
      <c r="INI36"/>
      <c r="INJ36"/>
      <c r="INK36"/>
      <c r="INL36"/>
      <c r="INM36"/>
      <c r="INN36"/>
      <c r="INO36"/>
      <c r="INP36"/>
      <c r="INQ36"/>
      <c r="INR36"/>
      <c r="INS36"/>
      <c r="INT36"/>
      <c r="INU36"/>
      <c r="INV36"/>
      <c r="INW36"/>
      <c r="INX36"/>
      <c r="INY36"/>
      <c r="INZ36"/>
      <c r="IOA36"/>
      <c r="IOB36"/>
      <c r="IOC36"/>
      <c r="IOD36"/>
      <c r="IOE36"/>
      <c r="IOF36"/>
      <c r="IOG36"/>
      <c r="IOH36"/>
      <c r="IOI36"/>
      <c r="IOJ36"/>
      <c r="IOK36"/>
      <c r="IOL36"/>
      <c r="IOM36"/>
      <c r="ION36"/>
      <c r="IOO36"/>
      <c r="IOP36"/>
      <c r="IOQ36"/>
      <c r="IOR36"/>
      <c r="IOS36"/>
      <c r="IOT36"/>
      <c r="IOU36"/>
      <c r="IOV36"/>
      <c r="IOW36"/>
      <c r="IOX36"/>
      <c r="IOY36"/>
      <c r="IOZ36"/>
      <c r="IPA36"/>
      <c r="IPB36"/>
      <c r="IPC36"/>
      <c r="IPD36"/>
      <c r="IPE36"/>
      <c r="IPF36"/>
      <c r="IPG36"/>
      <c r="IPH36"/>
      <c r="IPI36"/>
      <c r="IPJ36"/>
      <c r="IPK36"/>
      <c r="IPL36"/>
      <c r="IPM36"/>
      <c r="IPN36"/>
      <c r="IPO36"/>
      <c r="IPP36"/>
      <c r="IPQ36"/>
      <c r="IPR36"/>
      <c r="IPS36"/>
      <c r="IPT36"/>
      <c r="IPU36"/>
      <c r="IPV36"/>
      <c r="IPW36"/>
      <c r="IPX36"/>
      <c r="IPY36"/>
      <c r="IPZ36"/>
      <c r="IQA36"/>
      <c r="IQB36"/>
      <c r="IQC36"/>
      <c r="IQD36"/>
      <c r="IQE36"/>
      <c r="IQF36"/>
      <c r="IQG36"/>
      <c r="IQH36"/>
      <c r="IQI36"/>
      <c r="IQJ36"/>
      <c r="IQK36"/>
      <c r="IQL36"/>
      <c r="IQM36"/>
      <c r="IQN36"/>
      <c r="IQO36"/>
      <c r="IQP36"/>
      <c r="IQQ36"/>
      <c r="IQR36"/>
      <c r="IQS36"/>
      <c r="IQT36"/>
      <c r="IQU36"/>
      <c r="IQV36"/>
      <c r="IQW36"/>
      <c r="IQX36"/>
      <c r="IQY36"/>
      <c r="IQZ36"/>
      <c r="IRA36"/>
      <c r="IRB36"/>
      <c r="IRC36"/>
      <c r="IRD36"/>
      <c r="IRE36"/>
      <c r="IRF36"/>
      <c r="IRG36"/>
      <c r="IRH36"/>
      <c r="IRI36"/>
      <c r="IRJ36"/>
      <c r="IRK36"/>
      <c r="IRL36"/>
      <c r="IRM36"/>
      <c r="IRN36"/>
      <c r="IRO36"/>
      <c r="IRP36"/>
      <c r="IRQ36"/>
      <c r="IRR36"/>
      <c r="IRS36"/>
      <c r="IRT36"/>
      <c r="IRU36"/>
      <c r="IRV36"/>
      <c r="IRW36"/>
      <c r="IRX36"/>
      <c r="IRY36"/>
      <c r="IRZ36"/>
      <c r="ISA36"/>
      <c r="ISB36"/>
      <c r="ISC36"/>
      <c r="ISD36"/>
      <c r="ISE36"/>
      <c r="ISF36"/>
      <c r="ISG36"/>
      <c r="ISH36"/>
      <c r="ISI36"/>
      <c r="ISJ36"/>
      <c r="ISK36"/>
      <c r="ISL36"/>
      <c r="ISM36"/>
      <c r="ISN36"/>
      <c r="ISO36"/>
      <c r="ISP36"/>
      <c r="ISQ36"/>
      <c r="ISR36"/>
      <c r="ISS36"/>
      <c r="IST36"/>
      <c r="ISU36"/>
      <c r="ISV36"/>
      <c r="ISW36"/>
      <c r="ISX36"/>
      <c r="ISY36"/>
      <c r="ISZ36"/>
      <c r="ITA36"/>
      <c r="ITB36"/>
      <c r="ITC36"/>
      <c r="ITD36"/>
      <c r="ITE36"/>
      <c r="ITF36"/>
      <c r="ITG36"/>
      <c r="ITH36"/>
      <c r="ITI36"/>
      <c r="ITJ36"/>
      <c r="ITK36"/>
      <c r="ITL36"/>
      <c r="ITM36"/>
      <c r="ITN36"/>
      <c r="ITO36"/>
      <c r="ITP36"/>
      <c r="ITQ36"/>
      <c r="ITR36"/>
      <c r="ITS36"/>
      <c r="ITT36"/>
      <c r="ITU36"/>
      <c r="ITV36"/>
      <c r="ITW36"/>
      <c r="ITX36"/>
      <c r="ITY36"/>
      <c r="ITZ36"/>
      <c r="IUA36"/>
      <c r="IUB36"/>
      <c r="IUC36"/>
      <c r="IUD36"/>
      <c r="IUE36"/>
      <c r="IUF36"/>
      <c r="IUG36"/>
      <c r="IUH36"/>
      <c r="IUI36"/>
      <c r="IUJ36"/>
      <c r="IUK36"/>
      <c r="IUL36"/>
      <c r="IUM36"/>
      <c r="IUN36"/>
      <c r="IUO36"/>
      <c r="IUP36"/>
      <c r="IUQ36"/>
      <c r="IUR36"/>
      <c r="IUS36"/>
      <c r="IUT36"/>
      <c r="IUU36"/>
      <c r="IUV36"/>
      <c r="IUW36"/>
      <c r="IUX36"/>
      <c r="IUY36"/>
      <c r="IUZ36"/>
      <c r="IVA36"/>
      <c r="IVB36"/>
      <c r="IVC36"/>
      <c r="IVD36"/>
      <c r="IVE36"/>
      <c r="IVF36"/>
      <c r="IVG36"/>
      <c r="IVH36"/>
      <c r="IVI36"/>
      <c r="IVJ36"/>
      <c r="IVK36"/>
      <c r="IVL36"/>
      <c r="IVM36"/>
      <c r="IVN36"/>
      <c r="IVO36"/>
      <c r="IVP36"/>
      <c r="IVQ36"/>
      <c r="IVR36"/>
      <c r="IVS36"/>
      <c r="IVT36"/>
      <c r="IVU36"/>
      <c r="IVV36"/>
      <c r="IVW36"/>
      <c r="IVX36"/>
      <c r="IVY36"/>
      <c r="IVZ36"/>
      <c r="IWA36"/>
      <c r="IWB36"/>
      <c r="IWC36"/>
      <c r="IWD36"/>
      <c r="IWE36"/>
      <c r="IWF36"/>
      <c r="IWG36"/>
      <c r="IWH36"/>
      <c r="IWI36"/>
      <c r="IWJ36"/>
      <c r="IWK36"/>
      <c r="IWL36"/>
      <c r="IWM36"/>
      <c r="IWN36"/>
      <c r="IWO36"/>
      <c r="IWP36"/>
      <c r="IWQ36"/>
      <c r="IWR36"/>
      <c r="IWS36"/>
      <c r="IWT36"/>
      <c r="IWU36"/>
      <c r="IWV36"/>
      <c r="IWW36"/>
      <c r="IWX36"/>
      <c r="IWY36"/>
      <c r="IWZ36"/>
      <c r="IXA36"/>
      <c r="IXB36"/>
      <c r="IXC36"/>
      <c r="IXD36"/>
      <c r="IXE36"/>
      <c r="IXF36"/>
      <c r="IXG36"/>
      <c r="IXH36"/>
      <c r="IXI36"/>
      <c r="IXJ36"/>
      <c r="IXK36"/>
      <c r="IXL36"/>
      <c r="IXM36"/>
      <c r="IXN36"/>
      <c r="IXO36"/>
      <c r="IXP36"/>
      <c r="IXQ36"/>
      <c r="IXR36"/>
      <c r="IXS36"/>
      <c r="IXT36"/>
      <c r="IXU36"/>
      <c r="IXV36"/>
      <c r="IXW36"/>
      <c r="IXX36"/>
      <c r="IXY36"/>
      <c r="IXZ36"/>
      <c r="IYA36"/>
      <c r="IYB36"/>
      <c r="IYC36"/>
      <c r="IYD36"/>
      <c r="IYE36"/>
      <c r="IYF36"/>
      <c r="IYG36"/>
      <c r="IYH36"/>
      <c r="IYI36"/>
      <c r="IYJ36"/>
      <c r="IYK36"/>
      <c r="IYL36"/>
      <c r="IYM36"/>
      <c r="IYN36"/>
      <c r="IYO36"/>
      <c r="IYP36"/>
      <c r="IYQ36"/>
      <c r="IYR36"/>
      <c r="IYS36"/>
      <c r="IYT36"/>
      <c r="IYU36"/>
      <c r="IYV36"/>
      <c r="IYW36"/>
      <c r="IYX36"/>
      <c r="IYY36"/>
      <c r="IYZ36"/>
      <c r="IZA36"/>
      <c r="IZB36"/>
      <c r="IZC36"/>
      <c r="IZD36"/>
      <c r="IZE36"/>
      <c r="IZF36"/>
      <c r="IZG36"/>
      <c r="IZH36"/>
      <c r="IZI36"/>
      <c r="IZJ36"/>
      <c r="IZK36"/>
      <c r="IZL36"/>
      <c r="IZM36"/>
      <c r="IZN36"/>
      <c r="IZO36"/>
      <c r="IZP36"/>
      <c r="IZQ36"/>
      <c r="IZR36"/>
      <c r="IZS36"/>
      <c r="IZT36"/>
      <c r="IZU36"/>
      <c r="IZV36"/>
      <c r="IZW36"/>
      <c r="IZX36"/>
      <c r="IZY36"/>
      <c r="IZZ36"/>
      <c r="JAA36"/>
      <c r="JAB36"/>
      <c r="JAC36"/>
      <c r="JAD36"/>
      <c r="JAE36"/>
      <c r="JAF36"/>
      <c r="JAG36"/>
      <c r="JAH36"/>
      <c r="JAI36"/>
      <c r="JAJ36"/>
      <c r="JAK36"/>
      <c r="JAL36"/>
      <c r="JAM36"/>
      <c r="JAN36"/>
      <c r="JAO36"/>
      <c r="JAP36"/>
      <c r="JAQ36"/>
      <c r="JAR36"/>
      <c r="JAS36"/>
      <c r="JAT36"/>
      <c r="JAU36"/>
      <c r="JAV36"/>
      <c r="JAW36"/>
      <c r="JAX36"/>
      <c r="JAY36"/>
      <c r="JAZ36"/>
      <c r="JBA36"/>
      <c r="JBB36"/>
      <c r="JBC36"/>
      <c r="JBD36"/>
      <c r="JBE36"/>
      <c r="JBF36"/>
      <c r="JBG36"/>
      <c r="JBH36"/>
      <c r="JBI36"/>
      <c r="JBJ36"/>
      <c r="JBK36"/>
      <c r="JBL36"/>
      <c r="JBM36"/>
      <c r="JBN36"/>
      <c r="JBO36"/>
      <c r="JBP36"/>
      <c r="JBQ36"/>
      <c r="JBR36"/>
      <c r="JBS36"/>
      <c r="JBT36"/>
      <c r="JBU36"/>
      <c r="JBV36"/>
      <c r="JBW36"/>
      <c r="JBX36"/>
      <c r="JBY36"/>
      <c r="JBZ36"/>
      <c r="JCA36"/>
      <c r="JCB36"/>
      <c r="JCC36"/>
      <c r="JCD36"/>
      <c r="JCE36"/>
      <c r="JCF36"/>
      <c r="JCG36"/>
      <c r="JCH36"/>
      <c r="JCI36"/>
      <c r="JCJ36"/>
      <c r="JCK36"/>
      <c r="JCL36"/>
      <c r="JCM36"/>
      <c r="JCN36"/>
      <c r="JCO36"/>
      <c r="JCP36"/>
      <c r="JCQ36"/>
      <c r="JCR36"/>
      <c r="JCS36"/>
      <c r="JCT36"/>
      <c r="JCU36"/>
      <c r="JCV36"/>
      <c r="JCW36"/>
      <c r="JCX36"/>
      <c r="JCY36"/>
      <c r="JCZ36"/>
      <c r="JDA36"/>
      <c r="JDB36"/>
      <c r="JDC36"/>
      <c r="JDD36"/>
      <c r="JDE36"/>
      <c r="JDF36"/>
      <c r="JDG36"/>
      <c r="JDH36"/>
      <c r="JDI36"/>
      <c r="JDJ36"/>
      <c r="JDK36"/>
      <c r="JDL36"/>
      <c r="JDM36"/>
      <c r="JDN36"/>
      <c r="JDO36"/>
      <c r="JDP36"/>
      <c r="JDQ36"/>
      <c r="JDR36"/>
      <c r="JDS36"/>
      <c r="JDT36"/>
      <c r="JDU36"/>
      <c r="JDV36"/>
      <c r="JDW36"/>
      <c r="JDX36"/>
      <c r="JDY36"/>
      <c r="JDZ36"/>
      <c r="JEA36"/>
      <c r="JEB36"/>
      <c r="JEC36"/>
      <c r="JED36"/>
      <c r="JEE36"/>
      <c r="JEF36"/>
      <c r="JEG36"/>
      <c r="JEH36"/>
      <c r="JEI36"/>
      <c r="JEJ36"/>
      <c r="JEK36"/>
      <c r="JEL36"/>
      <c r="JEM36"/>
      <c r="JEN36"/>
      <c r="JEO36"/>
      <c r="JEP36"/>
      <c r="JEQ36"/>
      <c r="JER36"/>
      <c r="JES36"/>
      <c r="JET36"/>
      <c r="JEU36"/>
      <c r="JEV36"/>
      <c r="JEW36"/>
      <c r="JEX36"/>
      <c r="JEY36"/>
      <c r="JEZ36"/>
      <c r="JFA36"/>
      <c r="JFB36"/>
      <c r="JFC36"/>
      <c r="JFD36"/>
      <c r="JFE36"/>
      <c r="JFF36"/>
      <c r="JFG36"/>
      <c r="JFH36"/>
      <c r="JFI36"/>
      <c r="JFJ36"/>
      <c r="JFK36"/>
      <c r="JFL36"/>
      <c r="JFM36"/>
      <c r="JFN36"/>
      <c r="JFO36"/>
      <c r="JFP36"/>
      <c r="JFQ36"/>
      <c r="JFR36"/>
      <c r="JFS36"/>
      <c r="JFT36"/>
      <c r="JFU36"/>
      <c r="JFV36"/>
      <c r="JFW36"/>
      <c r="JFX36"/>
      <c r="JFY36"/>
      <c r="JFZ36"/>
      <c r="JGA36"/>
      <c r="JGB36"/>
      <c r="JGC36"/>
      <c r="JGD36"/>
      <c r="JGE36"/>
      <c r="JGF36"/>
      <c r="JGG36"/>
      <c r="JGH36"/>
      <c r="JGI36"/>
      <c r="JGJ36"/>
      <c r="JGK36"/>
      <c r="JGL36"/>
      <c r="JGM36"/>
      <c r="JGN36"/>
      <c r="JGO36"/>
      <c r="JGP36"/>
      <c r="JGQ36"/>
      <c r="JGR36"/>
      <c r="JGS36"/>
      <c r="JGT36"/>
      <c r="JGU36"/>
      <c r="JGV36"/>
      <c r="JGW36"/>
      <c r="JGX36"/>
      <c r="JGY36"/>
      <c r="JGZ36"/>
      <c r="JHA36"/>
      <c r="JHB36"/>
      <c r="JHC36"/>
      <c r="JHD36"/>
      <c r="JHE36"/>
      <c r="JHF36"/>
      <c r="JHG36"/>
      <c r="JHH36"/>
      <c r="JHI36"/>
      <c r="JHJ36"/>
      <c r="JHK36"/>
      <c r="JHL36"/>
      <c r="JHM36"/>
      <c r="JHN36"/>
      <c r="JHO36"/>
      <c r="JHP36"/>
      <c r="JHQ36"/>
      <c r="JHR36"/>
      <c r="JHS36"/>
      <c r="JHT36"/>
      <c r="JHU36"/>
      <c r="JHV36"/>
      <c r="JHW36"/>
      <c r="JHX36"/>
      <c r="JHY36"/>
      <c r="JHZ36"/>
      <c r="JIA36"/>
      <c r="JIB36"/>
      <c r="JIC36"/>
      <c r="JID36"/>
      <c r="JIE36"/>
      <c r="JIF36"/>
      <c r="JIG36"/>
      <c r="JIH36"/>
      <c r="JII36"/>
      <c r="JIJ36"/>
      <c r="JIK36"/>
      <c r="JIL36"/>
      <c r="JIM36"/>
      <c r="JIN36"/>
      <c r="JIO36"/>
      <c r="JIP36"/>
      <c r="JIQ36"/>
      <c r="JIR36"/>
      <c r="JIS36"/>
      <c r="JIT36"/>
      <c r="JIU36"/>
      <c r="JIV36"/>
      <c r="JIW36"/>
      <c r="JIX36"/>
      <c r="JIY36"/>
      <c r="JIZ36"/>
      <c r="JJA36"/>
      <c r="JJB36"/>
      <c r="JJC36"/>
      <c r="JJD36"/>
      <c r="JJE36"/>
      <c r="JJF36"/>
      <c r="JJG36"/>
      <c r="JJH36"/>
      <c r="JJI36"/>
      <c r="JJJ36"/>
      <c r="JJK36"/>
      <c r="JJL36"/>
      <c r="JJM36"/>
      <c r="JJN36"/>
      <c r="JJO36"/>
      <c r="JJP36"/>
      <c r="JJQ36"/>
      <c r="JJR36"/>
      <c r="JJS36"/>
      <c r="JJT36"/>
      <c r="JJU36"/>
      <c r="JJV36"/>
      <c r="JJW36"/>
      <c r="JJX36"/>
      <c r="JJY36"/>
      <c r="JJZ36"/>
      <c r="JKA36"/>
      <c r="JKB36"/>
      <c r="JKC36"/>
      <c r="JKD36"/>
      <c r="JKE36"/>
      <c r="JKF36"/>
      <c r="JKG36"/>
      <c r="JKH36"/>
      <c r="JKI36"/>
      <c r="JKJ36"/>
      <c r="JKK36"/>
      <c r="JKL36"/>
      <c r="JKM36"/>
      <c r="JKN36"/>
      <c r="JKO36"/>
      <c r="JKP36"/>
      <c r="JKQ36"/>
      <c r="JKR36"/>
      <c r="JKS36"/>
      <c r="JKT36"/>
      <c r="JKU36"/>
      <c r="JKV36"/>
      <c r="JKW36"/>
      <c r="JKX36"/>
      <c r="JKY36"/>
      <c r="JKZ36"/>
      <c r="JLA36"/>
      <c r="JLB36"/>
      <c r="JLC36"/>
      <c r="JLD36"/>
      <c r="JLE36"/>
      <c r="JLF36"/>
      <c r="JLG36"/>
      <c r="JLH36"/>
      <c r="JLI36"/>
      <c r="JLJ36"/>
      <c r="JLK36"/>
      <c r="JLL36"/>
      <c r="JLM36"/>
      <c r="JLN36"/>
      <c r="JLO36"/>
      <c r="JLP36"/>
      <c r="JLQ36"/>
      <c r="JLR36"/>
      <c r="JLS36"/>
      <c r="JLT36"/>
      <c r="JLU36"/>
      <c r="JLV36"/>
      <c r="JLW36"/>
      <c r="JLX36"/>
      <c r="JLY36"/>
      <c r="JLZ36"/>
      <c r="JMA36"/>
      <c r="JMB36"/>
      <c r="JMC36"/>
      <c r="JMD36"/>
      <c r="JME36"/>
      <c r="JMF36"/>
      <c r="JMG36"/>
      <c r="JMH36"/>
      <c r="JMI36"/>
      <c r="JMJ36"/>
      <c r="JMK36"/>
      <c r="JML36"/>
      <c r="JMM36"/>
      <c r="JMN36"/>
      <c r="JMO36"/>
      <c r="JMP36"/>
      <c r="JMQ36"/>
      <c r="JMR36"/>
      <c r="JMS36"/>
      <c r="JMT36"/>
      <c r="JMU36"/>
      <c r="JMV36"/>
      <c r="JMW36"/>
      <c r="JMX36"/>
      <c r="JMY36"/>
      <c r="JMZ36"/>
      <c r="JNA36"/>
      <c r="JNB36"/>
      <c r="JNC36"/>
      <c r="JND36"/>
      <c r="JNE36"/>
      <c r="JNF36"/>
      <c r="JNG36"/>
      <c r="JNH36"/>
      <c r="JNI36"/>
      <c r="JNJ36"/>
      <c r="JNK36"/>
      <c r="JNL36"/>
      <c r="JNM36"/>
      <c r="JNN36"/>
      <c r="JNO36"/>
      <c r="JNP36"/>
      <c r="JNQ36"/>
      <c r="JNR36"/>
      <c r="JNS36"/>
      <c r="JNT36"/>
      <c r="JNU36"/>
      <c r="JNV36"/>
      <c r="JNW36"/>
      <c r="JNX36"/>
      <c r="JNY36"/>
      <c r="JNZ36"/>
      <c r="JOA36"/>
      <c r="JOB36"/>
      <c r="JOC36"/>
      <c r="JOD36"/>
      <c r="JOE36"/>
      <c r="JOF36"/>
      <c r="JOG36"/>
      <c r="JOH36"/>
      <c r="JOI36"/>
      <c r="JOJ36"/>
      <c r="JOK36"/>
      <c r="JOL36"/>
      <c r="JOM36"/>
      <c r="JON36"/>
      <c r="JOO36"/>
      <c r="JOP36"/>
      <c r="JOQ36"/>
      <c r="JOR36"/>
      <c r="JOS36"/>
      <c r="JOT36"/>
      <c r="JOU36"/>
      <c r="JOV36"/>
      <c r="JOW36"/>
      <c r="JOX36"/>
      <c r="JOY36"/>
      <c r="JOZ36"/>
      <c r="JPA36"/>
      <c r="JPB36"/>
      <c r="JPC36"/>
      <c r="JPD36"/>
      <c r="JPE36"/>
      <c r="JPF36"/>
      <c r="JPG36"/>
      <c r="JPH36"/>
      <c r="JPI36"/>
      <c r="JPJ36"/>
      <c r="JPK36"/>
      <c r="JPL36"/>
      <c r="JPM36"/>
      <c r="JPN36"/>
      <c r="JPO36"/>
      <c r="JPP36"/>
      <c r="JPQ36"/>
      <c r="JPR36"/>
      <c r="JPS36"/>
      <c r="JPT36"/>
      <c r="JPU36"/>
      <c r="JPV36"/>
      <c r="JPW36"/>
      <c r="JPX36"/>
      <c r="JPY36"/>
      <c r="JPZ36"/>
      <c r="JQA36"/>
      <c r="JQB36"/>
      <c r="JQC36"/>
      <c r="JQD36"/>
      <c r="JQE36"/>
      <c r="JQF36"/>
      <c r="JQG36"/>
      <c r="JQH36"/>
      <c r="JQI36"/>
      <c r="JQJ36"/>
      <c r="JQK36"/>
      <c r="JQL36"/>
      <c r="JQM36"/>
      <c r="JQN36"/>
      <c r="JQO36"/>
      <c r="JQP36"/>
      <c r="JQQ36"/>
      <c r="JQR36"/>
      <c r="JQS36"/>
      <c r="JQT36"/>
      <c r="JQU36"/>
      <c r="JQV36"/>
      <c r="JQW36"/>
      <c r="JQX36"/>
      <c r="JQY36"/>
      <c r="JQZ36"/>
      <c r="JRA36"/>
      <c r="JRB36"/>
      <c r="JRC36"/>
      <c r="JRD36"/>
      <c r="JRE36"/>
      <c r="JRF36"/>
      <c r="JRG36"/>
      <c r="JRH36"/>
      <c r="JRI36"/>
      <c r="JRJ36"/>
      <c r="JRK36"/>
      <c r="JRL36"/>
      <c r="JRM36"/>
      <c r="JRN36"/>
      <c r="JRO36"/>
      <c r="JRP36"/>
      <c r="JRQ36"/>
      <c r="JRR36"/>
      <c r="JRS36"/>
      <c r="JRT36"/>
      <c r="JRU36"/>
      <c r="JRV36"/>
      <c r="JRW36"/>
      <c r="JRX36"/>
      <c r="JRY36"/>
      <c r="JRZ36"/>
      <c r="JSA36"/>
      <c r="JSB36"/>
      <c r="JSC36"/>
      <c r="JSD36"/>
      <c r="JSE36"/>
      <c r="JSF36"/>
      <c r="JSG36"/>
      <c r="JSH36"/>
      <c r="JSI36"/>
      <c r="JSJ36"/>
      <c r="JSK36"/>
      <c r="JSL36"/>
      <c r="JSM36"/>
      <c r="JSN36"/>
      <c r="JSO36"/>
      <c r="JSP36"/>
      <c r="JSQ36"/>
      <c r="JSR36"/>
      <c r="JSS36"/>
      <c r="JST36"/>
      <c r="JSU36"/>
      <c r="JSV36"/>
      <c r="JSW36"/>
      <c r="JSX36"/>
      <c r="JSY36"/>
      <c r="JSZ36"/>
      <c r="JTA36"/>
      <c r="JTB36"/>
      <c r="JTC36"/>
      <c r="JTD36"/>
      <c r="JTE36"/>
      <c r="JTF36"/>
      <c r="JTG36"/>
      <c r="JTH36"/>
      <c r="JTI36"/>
      <c r="JTJ36"/>
      <c r="JTK36"/>
      <c r="JTL36"/>
      <c r="JTM36"/>
      <c r="JTN36"/>
      <c r="JTO36"/>
      <c r="JTP36"/>
      <c r="JTQ36"/>
      <c r="JTR36"/>
      <c r="JTS36"/>
      <c r="JTT36"/>
      <c r="JTU36"/>
      <c r="JTV36"/>
      <c r="JTW36"/>
      <c r="JTX36"/>
      <c r="JTY36"/>
      <c r="JTZ36"/>
      <c r="JUA36"/>
      <c r="JUB36"/>
      <c r="JUC36"/>
      <c r="JUD36"/>
      <c r="JUE36"/>
      <c r="JUF36"/>
      <c r="JUG36"/>
      <c r="JUH36"/>
      <c r="JUI36"/>
      <c r="JUJ36"/>
      <c r="JUK36"/>
      <c r="JUL36"/>
      <c r="JUM36"/>
      <c r="JUN36"/>
      <c r="JUO36"/>
      <c r="JUP36"/>
      <c r="JUQ36"/>
      <c r="JUR36"/>
      <c r="JUS36"/>
      <c r="JUT36"/>
      <c r="JUU36"/>
      <c r="JUV36"/>
      <c r="JUW36"/>
      <c r="JUX36"/>
      <c r="JUY36"/>
      <c r="JUZ36"/>
      <c r="JVA36"/>
      <c r="JVB36"/>
      <c r="JVC36"/>
      <c r="JVD36"/>
      <c r="JVE36"/>
      <c r="JVF36"/>
      <c r="JVG36"/>
      <c r="JVH36"/>
      <c r="JVI36"/>
      <c r="JVJ36"/>
      <c r="JVK36"/>
      <c r="JVL36"/>
      <c r="JVM36"/>
      <c r="JVN36"/>
      <c r="JVO36"/>
      <c r="JVP36"/>
      <c r="JVQ36"/>
      <c r="JVR36"/>
      <c r="JVS36"/>
      <c r="JVT36"/>
      <c r="JVU36"/>
      <c r="JVV36"/>
      <c r="JVW36"/>
      <c r="JVX36"/>
      <c r="JVY36"/>
      <c r="JVZ36"/>
      <c r="JWA36"/>
      <c r="JWB36"/>
      <c r="JWC36"/>
      <c r="JWD36"/>
      <c r="JWE36"/>
      <c r="JWF36"/>
      <c r="JWG36"/>
      <c r="JWH36"/>
      <c r="JWI36"/>
      <c r="JWJ36"/>
      <c r="JWK36"/>
      <c r="JWL36"/>
      <c r="JWM36"/>
      <c r="JWN36"/>
      <c r="JWO36"/>
      <c r="JWP36"/>
      <c r="JWQ36"/>
      <c r="JWR36"/>
      <c r="JWS36"/>
      <c r="JWT36"/>
      <c r="JWU36"/>
      <c r="JWV36"/>
      <c r="JWW36"/>
      <c r="JWX36"/>
      <c r="JWY36"/>
      <c r="JWZ36"/>
      <c r="JXA36"/>
      <c r="JXB36"/>
      <c r="JXC36"/>
      <c r="JXD36"/>
      <c r="JXE36"/>
      <c r="JXF36"/>
      <c r="JXG36"/>
      <c r="JXH36"/>
      <c r="JXI36"/>
      <c r="JXJ36"/>
      <c r="JXK36"/>
      <c r="JXL36"/>
      <c r="JXM36"/>
      <c r="JXN36"/>
      <c r="JXO36"/>
      <c r="JXP36"/>
      <c r="JXQ36"/>
      <c r="JXR36"/>
      <c r="JXS36"/>
      <c r="JXT36"/>
      <c r="JXU36"/>
      <c r="JXV36"/>
      <c r="JXW36"/>
      <c r="JXX36"/>
      <c r="JXY36"/>
      <c r="JXZ36"/>
      <c r="JYA36"/>
      <c r="JYB36"/>
      <c r="JYC36"/>
      <c r="JYD36"/>
      <c r="JYE36"/>
      <c r="JYF36"/>
      <c r="JYG36"/>
      <c r="JYH36"/>
      <c r="JYI36"/>
      <c r="JYJ36"/>
      <c r="JYK36"/>
      <c r="JYL36"/>
      <c r="JYM36"/>
      <c r="JYN36"/>
      <c r="JYO36"/>
      <c r="JYP36"/>
      <c r="JYQ36"/>
      <c r="JYR36"/>
      <c r="JYS36"/>
      <c r="JYT36"/>
      <c r="JYU36"/>
      <c r="JYV36"/>
      <c r="JYW36"/>
      <c r="JYX36"/>
      <c r="JYY36"/>
      <c r="JYZ36"/>
      <c r="JZA36"/>
      <c r="JZB36"/>
      <c r="JZC36"/>
      <c r="JZD36"/>
      <c r="JZE36"/>
      <c r="JZF36"/>
      <c r="JZG36"/>
      <c r="JZH36"/>
      <c r="JZI36"/>
      <c r="JZJ36"/>
      <c r="JZK36"/>
      <c r="JZL36"/>
      <c r="JZM36"/>
      <c r="JZN36"/>
      <c r="JZO36"/>
      <c r="JZP36"/>
      <c r="JZQ36"/>
      <c r="JZR36"/>
      <c r="JZS36"/>
      <c r="JZT36"/>
      <c r="JZU36"/>
      <c r="JZV36"/>
      <c r="JZW36"/>
      <c r="JZX36"/>
      <c r="JZY36"/>
      <c r="JZZ36"/>
      <c r="KAA36"/>
      <c r="KAB36"/>
      <c r="KAC36"/>
      <c r="KAD36"/>
      <c r="KAE36"/>
      <c r="KAF36"/>
      <c r="KAG36"/>
      <c r="KAH36"/>
      <c r="KAI36"/>
      <c r="KAJ36"/>
      <c r="KAK36"/>
      <c r="KAL36"/>
      <c r="KAM36"/>
      <c r="KAN36"/>
      <c r="KAO36"/>
      <c r="KAP36"/>
      <c r="KAQ36"/>
      <c r="KAR36"/>
      <c r="KAS36"/>
      <c r="KAT36"/>
      <c r="KAU36"/>
      <c r="KAV36"/>
      <c r="KAW36"/>
      <c r="KAX36"/>
      <c r="KAY36"/>
      <c r="KAZ36"/>
      <c r="KBA36"/>
      <c r="KBB36"/>
      <c r="KBC36"/>
      <c r="KBD36"/>
      <c r="KBE36"/>
      <c r="KBF36"/>
      <c r="KBG36"/>
      <c r="KBH36"/>
      <c r="KBI36"/>
      <c r="KBJ36"/>
      <c r="KBK36"/>
      <c r="KBL36"/>
      <c r="KBM36"/>
      <c r="KBN36"/>
      <c r="KBO36"/>
      <c r="KBP36"/>
      <c r="KBQ36"/>
      <c r="KBR36"/>
      <c r="KBS36"/>
      <c r="KBT36"/>
      <c r="KBU36"/>
      <c r="KBV36"/>
      <c r="KBW36"/>
      <c r="KBX36"/>
      <c r="KBY36"/>
      <c r="KBZ36"/>
      <c r="KCA36"/>
      <c r="KCB36"/>
      <c r="KCC36"/>
      <c r="KCD36"/>
      <c r="KCE36"/>
      <c r="KCF36"/>
      <c r="KCG36"/>
      <c r="KCH36"/>
      <c r="KCI36"/>
      <c r="KCJ36"/>
      <c r="KCK36"/>
      <c r="KCL36"/>
      <c r="KCM36"/>
      <c r="KCN36"/>
      <c r="KCO36"/>
      <c r="KCP36"/>
      <c r="KCQ36"/>
      <c r="KCR36"/>
      <c r="KCS36"/>
      <c r="KCT36"/>
      <c r="KCU36"/>
      <c r="KCV36"/>
      <c r="KCW36"/>
      <c r="KCX36"/>
      <c r="KCY36"/>
      <c r="KCZ36"/>
      <c r="KDA36"/>
      <c r="KDB36"/>
      <c r="KDC36"/>
      <c r="KDD36"/>
      <c r="KDE36"/>
      <c r="KDF36"/>
      <c r="KDG36"/>
      <c r="KDH36"/>
      <c r="KDI36"/>
      <c r="KDJ36"/>
      <c r="KDK36"/>
      <c r="KDL36"/>
      <c r="KDM36"/>
      <c r="KDN36"/>
      <c r="KDO36"/>
      <c r="KDP36"/>
      <c r="KDQ36"/>
      <c r="KDR36"/>
      <c r="KDS36"/>
      <c r="KDT36"/>
      <c r="KDU36"/>
      <c r="KDV36"/>
      <c r="KDW36"/>
      <c r="KDX36"/>
      <c r="KDY36"/>
      <c r="KDZ36"/>
      <c r="KEA36"/>
      <c r="KEB36"/>
      <c r="KEC36"/>
      <c r="KED36"/>
      <c r="KEE36"/>
      <c r="KEF36"/>
      <c r="KEG36"/>
      <c r="KEH36"/>
      <c r="KEI36"/>
      <c r="KEJ36"/>
      <c r="KEK36"/>
      <c r="KEL36"/>
      <c r="KEM36"/>
      <c r="KEN36"/>
      <c r="KEO36"/>
      <c r="KEP36"/>
      <c r="KEQ36"/>
      <c r="KER36"/>
      <c r="KES36"/>
      <c r="KET36"/>
      <c r="KEU36"/>
      <c r="KEV36"/>
      <c r="KEW36"/>
      <c r="KEX36"/>
      <c r="KEY36"/>
      <c r="KEZ36"/>
      <c r="KFA36"/>
      <c r="KFB36"/>
      <c r="KFC36"/>
      <c r="KFD36"/>
      <c r="KFE36"/>
      <c r="KFF36"/>
      <c r="KFG36"/>
      <c r="KFH36"/>
      <c r="KFI36"/>
      <c r="KFJ36"/>
      <c r="KFK36"/>
      <c r="KFL36"/>
      <c r="KFM36"/>
      <c r="KFN36"/>
      <c r="KFO36"/>
      <c r="KFP36"/>
      <c r="KFQ36"/>
      <c r="KFR36"/>
      <c r="KFS36"/>
      <c r="KFT36"/>
      <c r="KFU36"/>
      <c r="KFV36"/>
      <c r="KFW36"/>
      <c r="KFX36"/>
      <c r="KFY36"/>
      <c r="KFZ36"/>
      <c r="KGA36"/>
      <c r="KGB36"/>
      <c r="KGC36"/>
      <c r="KGD36"/>
      <c r="KGE36"/>
      <c r="KGF36"/>
      <c r="KGG36"/>
      <c r="KGH36"/>
      <c r="KGI36"/>
      <c r="KGJ36"/>
      <c r="KGK36"/>
      <c r="KGL36"/>
      <c r="KGM36"/>
      <c r="KGN36"/>
      <c r="KGO36"/>
      <c r="KGP36"/>
      <c r="KGQ36"/>
      <c r="KGR36"/>
      <c r="KGS36"/>
      <c r="KGT36"/>
      <c r="KGU36"/>
      <c r="KGV36"/>
      <c r="KGW36"/>
      <c r="KGX36"/>
      <c r="KGY36"/>
      <c r="KGZ36"/>
      <c r="KHA36"/>
      <c r="KHB36"/>
      <c r="KHC36"/>
      <c r="KHD36"/>
      <c r="KHE36"/>
      <c r="KHF36"/>
      <c r="KHG36"/>
      <c r="KHH36"/>
      <c r="KHI36"/>
      <c r="KHJ36"/>
      <c r="KHK36"/>
      <c r="KHL36"/>
      <c r="KHM36"/>
      <c r="KHN36"/>
      <c r="KHO36"/>
      <c r="KHP36"/>
      <c r="KHQ36"/>
      <c r="KHR36"/>
      <c r="KHS36"/>
      <c r="KHT36"/>
      <c r="KHU36"/>
      <c r="KHV36"/>
      <c r="KHW36"/>
      <c r="KHX36"/>
      <c r="KHY36"/>
      <c r="KHZ36"/>
      <c r="KIA36"/>
      <c r="KIB36"/>
      <c r="KIC36"/>
      <c r="KID36"/>
      <c r="KIE36"/>
      <c r="KIF36"/>
      <c r="KIG36"/>
      <c r="KIH36"/>
      <c r="KII36"/>
      <c r="KIJ36"/>
      <c r="KIK36"/>
      <c r="KIL36"/>
      <c r="KIM36"/>
      <c r="KIN36"/>
      <c r="KIO36"/>
      <c r="KIP36"/>
      <c r="KIQ36"/>
      <c r="KIR36"/>
      <c r="KIS36"/>
      <c r="KIT36"/>
      <c r="KIU36"/>
      <c r="KIV36"/>
      <c r="KIW36"/>
      <c r="KIX36"/>
      <c r="KIY36"/>
      <c r="KIZ36"/>
      <c r="KJA36"/>
      <c r="KJB36"/>
      <c r="KJC36"/>
      <c r="KJD36"/>
      <c r="KJE36"/>
      <c r="KJF36"/>
      <c r="KJG36"/>
      <c r="KJH36"/>
      <c r="KJI36"/>
      <c r="KJJ36"/>
      <c r="KJK36"/>
      <c r="KJL36"/>
      <c r="KJM36"/>
      <c r="KJN36"/>
      <c r="KJO36"/>
      <c r="KJP36"/>
      <c r="KJQ36"/>
      <c r="KJR36"/>
      <c r="KJS36"/>
      <c r="KJT36"/>
      <c r="KJU36"/>
      <c r="KJV36"/>
      <c r="KJW36"/>
      <c r="KJX36"/>
      <c r="KJY36"/>
      <c r="KJZ36"/>
      <c r="KKA36"/>
      <c r="KKB36"/>
      <c r="KKC36"/>
      <c r="KKD36"/>
      <c r="KKE36"/>
      <c r="KKF36"/>
      <c r="KKG36"/>
      <c r="KKH36"/>
      <c r="KKI36"/>
      <c r="KKJ36"/>
      <c r="KKK36"/>
      <c r="KKL36"/>
      <c r="KKM36"/>
      <c r="KKN36"/>
      <c r="KKO36"/>
      <c r="KKP36"/>
      <c r="KKQ36"/>
      <c r="KKR36"/>
      <c r="KKS36"/>
      <c r="KKT36"/>
      <c r="KKU36"/>
      <c r="KKV36"/>
      <c r="KKW36"/>
      <c r="KKX36"/>
      <c r="KKY36"/>
      <c r="KKZ36"/>
      <c r="KLA36"/>
      <c r="KLB36"/>
      <c r="KLC36"/>
      <c r="KLD36"/>
      <c r="KLE36"/>
      <c r="KLF36"/>
      <c r="KLG36"/>
      <c r="KLH36"/>
      <c r="KLI36"/>
      <c r="KLJ36"/>
      <c r="KLK36"/>
      <c r="KLL36"/>
      <c r="KLM36"/>
      <c r="KLN36"/>
      <c r="KLO36"/>
      <c r="KLP36"/>
      <c r="KLQ36"/>
      <c r="KLR36"/>
      <c r="KLS36"/>
      <c r="KLT36"/>
      <c r="KLU36"/>
      <c r="KLV36"/>
      <c r="KLW36"/>
      <c r="KLX36"/>
      <c r="KLY36"/>
      <c r="KLZ36"/>
      <c r="KMA36"/>
      <c r="KMB36"/>
      <c r="KMC36"/>
      <c r="KMD36"/>
      <c r="KME36"/>
      <c r="KMF36"/>
      <c r="KMG36"/>
      <c r="KMH36"/>
      <c r="KMI36"/>
      <c r="KMJ36"/>
      <c r="KMK36"/>
      <c r="KML36"/>
      <c r="KMM36"/>
      <c r="KMN36"/>
      <c r="KMO36"/>
      <c r="KMP36"/>
      <c r="KMQ36"/>
      <c r="KMR36"/>
      <c r="KMS36"/>
      <c r="KMT36"/>
      <c r="KMU36"/>
      <c r="KMV36"/>
      <c r="KMW36"/>
      <c r="KMX36"/>
      <c r="KMY36"/>
      <c r="KMZ36"/>
      <c r="KNA36"/>
      <c r="KNB36"/>
      <c r="KNC36"/>
      <c r="KND36"/>
      <c r="KNE36"/>
      <c r="KNF36"/>
      <c r="KNG36"/>
      <c r="KNH36"/>
      <c r="KNI36"/>
      <c r="KNJ36"/>
      <c r="KNK36"/>
      <c r="KNL36"/>
      <c r="KNM36"/>
      <c r="KNN36"/>
      <c r="KNO36"/>
      <c r="KNP36"/>
      <c r="KNQ36"/>
      <c r="KNR36"/>
      <c r="KNS36"/>
      <c r="KNT36"/>
      <c r="KNU36"/>
      <c r="KNV36"/>
      <c r="KNW36"/>
      <c r="KNX36"/>
      <c r="KNY36"/>
      <c r="KNZ36"/>
      <c r="KOA36"/>
      <c r="KOB36"/>
      <c r="KOC36"/>
      <c r="KOD36"/>
      <c r="KOE36"/>
      <c r="KOF36"/>
      <c r="KOG36"/>
      <c r="KOH36"/>
      <c r="KOI36"/>
      <c r="KOJ36"/>
      <c r="KOK36"/>
      <c r="KOL36"/>
      <c r="KOM36"/>
      <c r="KON36"/>
      <c r="KOO36"/>
      <c r="KOP36"/>
      <c r="KOQ36"/>
      <c r="KOR36"/>
      <c r="KOS36"/>
      <c r="KOT36"/>
      <c r="KOU36"/>
      <c r="KOV36"/>
      <c r="KOW36"/>
      <c r="KOX36"/>
      <c r="KOY36"/>
      <c r="KOZ36"/>
      <c r="KPA36"/>
      <c r="KPB36"/>
      <c r="KPC36"/>
      <c r="KPD36"/>
      <c r="KPE36"/>
      <c r="KPF36"/>
      <c r="KPG36"/>
      <c r="KPH36"/>
      <c r="KPI36"/>
      <c r="KPJ36"/>
      <c r="KPK36"/>
      <c r="KPL36"/>
      <c r="KPM36"/>
      <c r="KPN36"/>
      <c r="KPO36"/>
      <c r="KPP36"/>
      <c r="KPQ36"/>
      <c r="KPR36"/>
      <c r="KPS36"/>
      <c r="KPT36"/>
      <c r="KPU36"/>
      <c r="KPV36"/>
      <c r="KPW36"/>
      <c r="KPX36"/>
      <c r="KPY36"/>
      <c r="KPZ36"/>
      <c r="KQA36"/>
      <c r="KQB36"/>
      <c r="KQC36"/>
      <c r="KQD36"/>
      <c r="KQE36"/>
      <c r="KQF36"/>
      <c r="KQG36"/>
      <c r="KQH36"/>
      <c r="KQI36"/>
      <c r="KQJ36"/>
      <c r="KQK36"/>
      <c r="KQL36"/>
      <c r="KQM36"/>
      <c r="KQN36"/>
      <c r="KQO36"/>
      <c r="KQP36"/>
      <c r="KQQ36"/>
      <c r="KQR36"/>
      <c r="KQS36"/>
      <c r="KQT36"/>
      <c r="KQU36"/>
      <c r="KQV36"/>
      <c r="KQW36"/>
      <c r="KQX36"/>
      <c r="KQY36"/>
      <c r="KQZ36"/>
      <c r="KRA36"/>
      <c r="KRB36"/>
      <c r="KRC36"/>
      <c r="KRD36"/>
      <c r="KRE36"/>
      <c r="KRF36"/>
      <c r="KRG36"/>
      <c r="KRH36"/>
      <c r="KRI36"/>
      <c r="KRJ36"/>
      <c r="KRK36"/>
      <c r="KRL36"/>
      <c r="KRM36"/>
      <c r="KRN36"/>
      <c r="KRO36"/>
      <c r="KRP36"/>
      <c r="KRQ36"/>
      <c r="KRR36"/>
      <c r="KRS36"/>
      <c r="KRT36"/>
      <c r="KRU36"/>
      <c r="KRV36"/>
      <c r="KRW36"/>
      <c r="KRX36"/>
      <c r="KRY36"/>
      <c r="KRZ36"/>
      <c r="KSA36"/>
      <c r="KSB36"/>
      <c r="KSC36"/>
      <c r="KSD36"/>
      <c r="KSE36"/>
      <c r="KSF36"/>
      <c r="KSG36"/>
      <c r="KSH36"/>
      <c r="KSI36"/>
      <c r="KSJ36"/>
      <c r="KSK36"/>
      <c r="KSL36"/>
      <c r="KSM36"/>
      <c r="KSN36"/>
      <c r="KSO36"/>
      <c r="KSP36"/>
      <c r="KSQ36"/>
      <c r="KSR36"/>
      <c r="KSS36"/>
      <c r="KST36"/>
      <c r="KSU36"/>
      <c r="KSV36"/>
      <c r="KSW36"/>
      <c r="KSX36"/>
      <c r="KSY36"/>
      <c r="KSZ36"/>
      <c r="KTA36"/>
      <c r="KTB36"/>
      <c r="KTC36"/>
      <c r="KTD36"/>
      <c r="KTE36"/>
      <c r="KTF36"/>
      <c r="KTG36"/>
      <c r="KTH36"/>
      <c r="KTI36"/>
      <c r="KTJ36"/>
      <c r="KTK36"/>
      <c r="KTL36"/>
      <c r="KTM36"/>
      <c r="KTN36"/>
      <c r="KTO36"/>
      <c r="KTP36"/>
      <c r="KTQ36"/>
      <c r="KTR36"/>
      <c r="KTS36"/>
      <c r="KTT36"/>
      <c r="KTU36"/>
      <c r="KTV36"/>
      <c r="KTW36"/>
      <c r="KTX36"/>
      <c r="KTY36"/>
      <c r="KTZ36"/>
      <c r="KUA36"/>
      <c r="KUB36"/>
      <c r="KUC36"/>
      <c r="KUD36"/>
      <c r="KUE36"/>
      <c r="KUF36"/>
      <c r="KUG36"/>
      <c r="KUH36"/>
      <c r="KUI36"/>
      <c r="KUJ36"/>
      <c r="KUK36"/>
      <c r="KUL36"/>
      <c r="KUM36"/>
      <c r="KUN36"/>
      <c r="KUO36"/>
      <c r="KUP36"/>
      <c r="KUQ36"/>
      <c r="KUR36"/>
      <c r="KUS36"/>
      <c r="KUT36"/>
      <c r="KUU36"/>
      <c r="KUV36"/>
      <c r="KUW36"/>
      <c r="KUX36"/>
      <c r="KUY36"/>
      <c r="KUZ36"/>
      <c r="KVA36"/>
      <c r="KVB36"/>
      <c r="KVC36"/>
      <c r="KVD36"/>
      <c r="KVE36"/>
      <c r="KVF36"/>
      <c r="KVG36"/>
      <c r="KVH36"/>
      <c r="KVI36"/>
      <c r="KVJ36"/>
      <c r="KVK36"/>
      <c r="KVL36"/>
      <c r="KVM36"/>
      <c r="KVN36"/>
      <c r="KVO36"/>
      <c r="KVP36"/>
      <c r="KVQ36"/>
      <c r="KVR36"/>
      <c r="KVS36"/>
      <c r="KVT36"/>
      <c r="KVU36"/>
      <c r="KVV36"/>
      <c r="KVW36"/>
      <c r="KVX36"/>
      <c r="KVY36"/>
      <c r="KVZ36"/>
      <c r="KWA36"/>
      <c r="KWB36"/>
      <c r="KWC36"/>
      <c r="KWD36"/>
      <c r="KWE36"/>
      <c r="KWF36"/>
      <c r="KWG36"/>
      <c r="KWH36"/>
      <c r="KWI36"/>
      <c r="KWJ36"/>
      <c r="KWK36"/>
      <c r="KWL36"/>
      <c r="KWM36"/>
      <c r="KWN36"/>
      <c r="KWO36"/>
      <c r="KWP36"/>
      <c r="KWQ36"/>
      <c r="KWR36"/>
      <c r="KWS36"/>
      <c r="KWT36"/>
      <c r="KWU36"/>
      <c r="KWV36"/>
      <c r="KWW36"/>
      <c r="KWX36"/>
      <c r="KWY36"/>
      <c r="KWZ36"/>
      <c r="KXA36"/>
      <c r="KXB36"/>
      <c r="KXC36"/>
      <c r="KXD36"/>
      <c r="KXE36"/>
      <c r="KXF36"/>
      <c r="KXG36"/>
      <c r="KXH36"/>
      <c r="KXI36"/>
      <c r="KXJ36"/>
      <c r="KXK36"/>
      <c r="KXL36"/>
      <c r="KXM36"/>
      <c r="KXN36"/>
      <c r="KXO36"/>
      <c r="KXP36"/>
      <c r="KXQ36"/>
      <c r="KXR36"/>
      <c r="KXS36"/>
      <c r="KXT36"/>
      <c r="KXU36"/>
      <c r="KXV36"/>
      <c r="KXW36"/>
      <c r="KXX36"/>
      <c r="KXY36"/>
      <c r="KXZ36"/>
      <c r="KYA36"/>
      <c r="KYB36"/>
      <c r="KYC36"/>
      <c r="KYD36"/>
      <c r="KYE36"/>
      <c r="KYF36"/>
      <c r="KYG36"/>
      <c r="KYH36"/>
      <c r="KYI36"/>
      <c r="KYJ36"/>
      <c r="KYK36"/>
      <c r="KYL36"/>
      <c r="KYM36"/>
      <c r="KYN36"/>
      <c r="KYO36"/>
      <c r="KYP36"/>
      <c r="KYQ36"/>
      <c r="KYR36"/>
      <c r="KYS36"/>
      <c r="KYT36"/>
      <c r="KYU36"/>
      <c r="KYV36"/>
      <c r="KYW36"/>
      <c r="KYX36"/>
      <c r="KYY36"/>
      <c r="KYZ36"/>
      <c r="KZA36"/>
      <c r="KZB36"/>
      <c r="KZC36"/>
      <c r="KZD36"/>
      <c r="KZE36"/>
      <c r="KZF36"/>
      <c r="KZG36"/>
      <c r="KZH36"/>
      <c r="KZI36"/>
      <c r="KZJ36"/>
      <c r="KZK36"/>
      <c r="KZL36"/>
      <c r="KZM36"/>
      <c r="KZN36"/>
      <c r="KZO36"/>
      <c r="KZP36"/>
      <c r="KZQ36"/>
      <c r="KZR36"/>
      <c r="KZS36"/>
      <c r="KZT36"/>
      <c r="KZU36"/>
      <c r="KZV36"/>
      <c r="KZW36"/>
      <c r="KZX36"/>
      <c r="KZY36"/>
      <c r="KZZ36"/>
      <c r="LAA36"/>
      <c r="LAB36"/>
      <c r="LAC36"/>
      <c r="LAD36"/>
      <c r="LAE36"/>
      <c r="LAF36"/>
      <c r="LAG36"/>
      <c r="LAH36"/>
      <c r="LAI36"/>
      <c r="LAJ36"/>
      <c r="LAK36"/>
      <c r="LAL36"/>
      <c r="LAM36"/>
      <c r="LAN36"/>
      <c r="LAO36"/>
      <c r="LAP36"/>
      <c r="LAQ36"/>
      <c r="LAR36"/>
      <c r="LAS36"/>
      <c r="LAT36"/>
      <c r="LAU36"/>
      <c r="LAV36"/>
      <c r="LAW36"/>
      <c r="LAX36"/>
      <c r="LAY36"/>
      <c r="LAZ36"/>
      <c r="LBA36"/>
      <c r="LBB36"/>
      <c r="LBC36"/>
      <c r="LBD36"/>
      <c r="LBE36"/>
      <c r="LBF36"/>
      <c r="LBG36"/>
      <c r="LBH36"/>
      <c r="LBI36"/>
      <c r="LBJ36"/>
      <c r="LBK36"/>
      <c r="LBL36"/>
      <c r="LBM36"/>
      <c r="LBN36"/>
      <c r="LBO36"/>
      <c r="LBP36"/>
      <c r="LBQ36"/>
      <c r="LBR36"/>
      <c r="LBS36"/>
      <c r="LBT36"/>
      <c r="LBU36"/>
      <c r="LBV36"/>
      <c r="LBW36"/>
      <c r="LBX36"/>
      <c r="LBY36"/>
      <c r="LBZ36"/>
      <c r="LCA36"/>
      <c r="LCB36"/>
      <c r="LCC36"/>
      <c r="LCD36"/>
      <c r="LCE36"/>
      <c r="LCF36"/>
      <c r="LCG36"/>
      <c r="LCH36"/>
      <c r="LCI36"/>
      <c r="LCJ36"/>
      <c r="LCK36"/>
      <c r="LCL36"/>
      <c r="LCM36"/>
      <c r="LCN36"/>
      <c r="LCO36"/>
      <c r="LCP36"/>
      <c r="LCQ36"/>
      <c r="LCR36"/>
      <c r="LCS36"/>
      <c r="LCT36"/>
      <c r="LCU36"/>
      <c r="LCV36"/>
      <c r="LCW36"/>
      <c r="LCX36"/>
      <c r="LCY36"/>
      <c r="LCZ36"/>
      <c r="LDA36"/>
      <c r="LDB36"/>
      <c r="LDC36"/>
      <c r="LDD36"/>
      <c r="LDE36"/>
      <c r="LDF36"/>
      <c r="LDG36"/>
      <c r="LDH36"/>
      <c r="LDI36"/>
      <c r="LDJ36"/>
      <c r="LDK36"/>
      <c r="LDL36"/>
      <c r="LDM36"/>
      <c r="LDN36"/>
      <c r="LDO36"/>
      <c r="LDP36"/>
      <c r="LDQ36"/>
      <c r="LDR36"/>
      <c r="LDS36"/>
      <c r="LDT36"/>
      <c r="LDU36"/>
      <c r="LDV36"/>
      <c r="LDW36"/>
      <c r="LDX36"/>
      <c r="LDY36"/>
      <c r="LDZ36"/>
      <c r="LEA36"/>
      <c r="LEB36"/>
      <c r="LEC36"/>
      <c r="LED36"/>
      <c r="LEE36"/>
      <c r="LEF36"/>
      <c r="LEG36"/>
      <c r="LEH36"/>
      <c r="LEI36"/>
      <c r="LEJ36"/>
      <c r="LEK36"/>
      <c r="LEL36"/>
      <c r="LEM36"/>
      <c r="LEN36"/>
      <c r="LEO36"/>
      <c r="LEP36"/>
      <c r="LEQ36"/>
      <c r="LER36"/>
      <c r="LES36"/>
      <c r="LET36"/>
      <c r="LEU36"/>
      <c r="LEV36"/>
      <c r="LEW36"/>
      <c r="LEX36"/>
      <c r="LEY36"/>
      <c r="LEZ36"/>
      <c r="LFA36"/>
      <c r="LFB36"/>
      <c r="LFC36"/>
      <c r="LFD36"/>
      <c r="LFE36"/>
      <c r="LFF36"/>
      <c r="LFG36"/>
      <c r="LFH36"/>
      <c r="LFI36"/>
      <c r="LFJ36"/>
      <c r="LFK36"/>
      <c r="LFL36"/>
      <c r="LFM36"/>
      <c r="LFN36"/>
      <c r="LFO36"/>
      <c r="LFP36"/>
      <c r="LFQ36"/>
      <c r="LFR36"/>
      <c r="LFS36"/>
      <c r="LFT36"/>
      <c r="LFU36"/>
      <c r="LFV36"/>
      <c r="LFW36"/>
      <c r="LFX36"/>
      <c r="LFY36"/>
      <c r="LFZ36"/>
      <c r="LGA36"/>
      <c r="LGB36"/>
      <c r="LGC36"/>
      <c r="LGD36"/>
      <c r="LGE36"/>
      <c r="LGF36"/>
      <c r="LGG36"/>
      <c r="LGH36"/>
      <c r="LGI36"/>
      <c r="LGJ36"/>
      <c r="LGK36"/>
      <c r="LGL36"/>
      <c r="LGM36"/>
      <c r="LGN36"/>
      <c r="LGO36"/>
      <c r="LGP36"/>
      <c r="LGQ36"/>
      <c r="LGR36"/>
      <c r="LGS36"/>
      <c r="LGT36"/>
      <c r="LGU36"/>
      <c r="LGV36"/>
      <c r="LGW36"/>
      <c r="LGX36"/>
      <c r="LGY36"/>
      <c r="LGZ36"/>
      <c r="LHA36"/>
      <c r="LHB36"/>
      <c r="LHC36"/>
      <c r="LHD36"/>
      <c r="LHE36"/>
      <c r="LHF36"/>
      <c r="LHG36"/>
      <c r="LHH36"/>
      <c r="LHI36"/>
      <c r="LHJ36"/>
      <c r="LHK36"/>
      <c r="LHL36"/>
      <c r="LHM36"/>
      <c r="LHN36"/>
      <c r="LHO36"/>
      <c r="LHP36"/>
      <c r="LHQ36"/>
      <c r="LHR36"/>
      <c r="LHS36"/>
      <c r="LHT36"/>
      <c r="LHU36"/>
      <c r="LHV36"/>
      <c r="LHW36"/>
      <c r="LHX36"/>
      <c r="LHY36"/>
      <c r="LHZ36"/>
      <c r="LIA36"/>
      <c r="LIB36"/>
      <c r="LIC36"/>
      <c r="LID36"/>
      <c r="LIE36"/>
      <c r="LIF36"/>
      <c r="LIG36"/>
      <c r="LIH36"/>
      <c r="LII36"/>
      <c r="LIJ36"/>
      <c r="LIK36"/>
      <c r="LIL36"/>
      <c r="LIM36"/>
      <c r="LIN36"/>
      <c r="LIO36"/>
      <c r="LIP36"/>
      <c r="LIQ36"/>
      <c r="LIR36"/>
      <c r="LIS36"/>
      <c r="LIT36"/>
      <c r="LIU36"/>
      <c r="LIV36"/>
      <c r="LIW36"/>
      <c r="LIX36"/>
      <c r="LIY36"/>
      <c r="LIZ36"/>
      <c r="LJA36"/>
      <c r="LJB36"/>
      <c r="LJC36"/>
      <c r="LJD36"/>
      <c r="LJE36"/>
      <c r="LJF36"/>
      <c r="LJG36"/>
      <c r="LJH36"/>
      <c r="LJI36"/>
      <c r="LJJ36"/>
      <c r="LJK36"/>
      <c r="LJL36"/>
      <c r="LJM36"/>
      <c r="LJN36"/>
      <c r="LJO36"/>
      <c r="LJP36"/>
      <c r="LJQ36"/>
      <c r="LJR36"/>
      <c r="LJS36"/>
      <c r="LJT36"/>
      <c r="LJU36"/>
      <c r="LJV36"/>
      <c r="LJW36"/>
      <c r="LJX36"/>
      <c r="LJY36"/>
      <c r="LJZ36"/>
      <c r="LKA36"/>
      <c r="LKB36"/>
      <c r="LKC36"/>
      <c r="LKD36"/>
      <c r="LKE36"/>
      <c r="LKF36"/>
      <c r="LKG36"/>
      <c r="LKH36"/>
      <c r="LKI36"/>
      <c r="LKJ36"/>
      <c r="LKK36"/>
      <c r="LKL36"/>
      <c r="LKM36"/>
      <c r="LKN36"/>
      <c r="LKO36"/>
      <c r="LKP36"/>
      <c r="LKQ36"/>
      <c r="LKR36"/>
      <c r="LKS36"/>
      <c r="LKT36"/>
      <c r="LKU36"/>
      <c r="LKV36"/>
      <c r="LKW36"/>
      <c r="LKX36"/>
      <c r="LKY36"/>
      <c r="LKZ36"/>
      <c r="LLA36"/>
      <c r="LLB36"/>
      <c r="LLC36"/>
      <c r="LLD36"/>
      <c r="LLE36"/>
      <c r="LLF36"/>
      <c r="LLG36"/>
      <c r="LLH36"/>
      <c r="LLI36"/>
      <c r="LLJ36"/>
      <c r="LLK36"/>
      <c r="LLL36"/>
      <c r="LLM36"/>
      <c r="LLN36"/>
      <c r="LLO36"/>
      <c r="LLP36"/>
      <c r="LLQ36"/>
      <c r="LLR36"/>
      <c r="LLS36"/>
      <c r="LLT36"/>
      <c r="LLU36"/>
      <c r="LLV36"/>
      <c r="LLW36"/>
      <c r="LLX36"/>
      <c r="LLY36"/>
      <c r="LLZ36"/>
      <c r="LMA36"/>
      <c r="LMB36"/>
      <c r="LMC36"/>
      <c r="LMD36"/>
      <c r="LME36"/>
      <c r="LMF36"/>
      <c r="LMG36"/>
      <c r="LMH36"/>
      <c r="LMI36"/>
      <c r="LMJ36"/>
      <c r="LMK36"/>
      <c r="LML36"/>
      <c r="LMM36"/>
      <c r="LMN36"/>
      <c r="LMO36"/>
      <c r="LMP36"/>
      <c r="LMQ36"/>
      <c r="LMR36"/>
      <c r="LMS36"/>
      <c r="LMT36"/>
      <c r="LMU36"/>
      <c r="LMV36"/>
      <c r="LMW36"/>
      <c r="LMX36"/>
      <c r="LMY36"/>
      <c r="LMZ36"/>
      <c r="LNA36"/>
      <c r="LNB36"/>
      <c r="LNC36"/>
      <c r="LND36"/>
      <c r="LNE36"/>
      <c r="LNF36"/>
      <c r="LNG36"/>
      <c r="LNH36"/>
      <c r="LNI36"/>
      <c r="LNJ36"/>
      <c r="LNK36"/>
      <c r="LNL36"/>
      <c r="LNM36"/>
      <c r="LNN36"/>
      <c r="LNO36"/>
      <c r="LNP36"/>
      <c r="LNQ36"/>
      <c r="LNR36"/>
      <c r="LNS36"/>
      <c r="LNT36"/>
      <c r="LNU36"/>
      <c r="LNV36"/>
      <c r="LNW36"/>
      <c r="LNX36"/>
      <c r="LNY36"/>
      <c r="LNZ36"/>
      <c r="LOA36"/>
      <c r="LOB36"/>
      <c r="LOC36"/>
      <c r="LOD36"/>
      <c r="LOE36"/>
      <c r="LOF36"/>
      <c r="LOG36"/>
      <c r="LOH36"/>
      <c r="LOI36"/>
      <c r="LOJ36"/>
      <c r="LOK36"/>
      <c r="LOL36"/>
      <c r="LOM36"/>
      <c r="LON36"/>
      <c r="LOO36"/>
      <c r="LOP36"/>
      <c r="LOQ36"/>
      <c r="LOR36"/>
      <c r="LOS36"/>
      <c r="LOT36"/>
      <c r="LOU36"/>
      <c r="LOV36"/>
      <c r="LOW36"/>
      <c r="LOX36"/>
      <c r="LOY36"/>
      <c r="LOZ36"/>
      <c r="LPA36"/>
      <c r="LPB36"/>
      <c r="LPC36"/>
      <c r="LPD36"/>
      <c r="LPE36"/>
      <c r="LPF36"/>
      <c r="LPG36"/>
      <c r="LPH36"/>
      <c r="LPI36"/>
      <c r="LPJ36"/>
      <c r="LPK36"/>
      <c r="LPL36"/>
      <c r="LPM36"/>
      <c r="LPN36"/>
      <c r="LPO36"/>
      <c r="LPP36"/>
      <c r="LPQ36"/>
      <c r="LPR36"/>
      <c r="LPS36"/>
      <c r="LPT36"/>
      <c r="LPU36"/>
      <c r="LPV36"/>
      <c r="LPW36"/>
      <c r="LPX36"/>
      <c r="LPY36"/>
      <c r="LPZ36"/>
      <c r="LQA36"/>
      <c r="LQB36"/>
      <c r="LQC36"/>
      <c r="LQD36"/>
      <c r="LQE36"/>
      <c r="LQF36"/>
      <c r="LQG36"/>
      <c r="LQH36"/>
      <c r="LQI36"/>
      <c r="LQJ36"/>
      <c r="LQK36"/>
      <c r="LQL36"/>
      <c r="LQM36"/>
      <c r="LQN36"/>
      <c r="LQO36"/>
      <c r="LQP36"/>
      <c r="LQQ36"/>
      <c r="LQR36"/>
      <c r="LQS36"/>
      <c r="LQT36"/>
      <c r="LQU36"/>
      <c r="LQV36"/>
      <c r="LQW36"/>
      <c r="LQX36"/>
      <c r="LQY36"/>
      <c r="LQZ36"/>
      <c r="LRA36"/>
      <c r="LRB36"/>
      <c r="LRC36"/>
      <c r="LRD36"/>
      <c r="LRE36"/>
      <c r="LRF36"/>
      <c r="LRG36"/>
      <c r="LRH36"/>
      <c r="LRI36"/>
      <c r="LRJ36"/>
      <c r="LRK36"/>
      <c r="LRL36"/>
      <c r="LRM36"/>
      <c r="LRN36"/>
      <c r="LRO36"/>
      <c r="LRP36"/>
      <c r="LRQ36"/>
      <c r="LRR36"/>
      <c r="LRS36"/>
      <c r="LRT36"/>
      <c r="LRU36"/>
      <c r="LRV36"/>
      <c r="LRW36"/>
      <c r="LRX36"/>
      <c r="LRY36"/>
      <c r="LRZ36"/>
      <c r="LSA36"/>
      <c r="LSB36"/>
      <c r="LSC36"/>
      <c r="LSD36"/>
      <c r="LSE36"/>
      <c r="LSF36"/>
      <c r="LSG36"/>
      <c r="LSH36"/>
      <c r="LSI36"/>
      <c r="LSJ36"/>
      <c r="LSK36"/>
      <c r="LSL36"/>
      <c r="LSM36"/>
      <c r="LSN36"/>
      <c r="LSO36"/>
      <c r="LSP36"/>
      <c r="LSQ36"/>
      <c r="LSR36"/>
      <c r="LSS36"/>
      <c r="LST36"/>
      <c r="LSU36"/>
      <c r="LSV36"/>
      <c r="LSW36"/>
      <c r="LSX36"/>
      <c r="LSY36"/>
      <c r="LSZ36"/>
      <c r="LTA36"/>
      <c r="LTB36"/>
      <c r="LTC36"/>
      <c r="LTD36"/>
      <c r="LTE36"/>
      <c r="LTF36"/>
      <c r="LTG36"/>
      <c r="LTH36"/>
      <c r="LTI36"/>
      <c r="LTJ36"/>
      <c r="LTK36"/>
      <c r="LTL36"/>
      <c r="LTM36"/>
      <c r="LTN36"/>
      <c r="LTO36"/>
      <c r="LTP36"/>
      <c r="LTQ36"/>
      <c r="LTR36"/>
      <c r="LTS36"/>
      <c r="LTT36"/>
      <c r="LTU36"/>
      <c r="LTV36"/>
      <c r="LTW36"/>
      <c r="LTX36"/>
      <c r="LTY36"/>
      <c r="LTZ36"/>
      <c r="LUA36"/>
      <c r="LUB36"/>
      <c r="LUC36"/>
      <c r="LUD36"/>
      <c r="LUE36"/>
      <c r="LUF36"/>
      <c r="LUG36"/>
      <c r="LUH36"/>
      <c r="LUI36"/>
      <c r="LUJ36"/>
      <c r="LUK36"/>
      <c r="LUL36"/>
      <c r="LUM36"/>
      <c r="LUN36"/>
      <c r="LUO36"/>
      <c r="LUP36"/>
      <c r="LUQ36"/>
      <c r="LUR36"/>
      <c r="LUS36"/>
      <c r="LUT36"/>
      <c r="LUU36"/>
      <c r="LUV36"/>
      <c r="LUW36"/>
      <c r="LUX36"/>
      <c r="LUY36"/>
      <c r="LUZ36"/>
      <c r="LVA36"/>
      <c r="LVB36"/>
      <c r="LVC36"/>
      <c r="LVD36"/>
      <c r="LVE36"/>
      <c r="LVF36"/>
      <c r="LVG36"/>
      <c r="LVH36"/>
      <c r="LVI36"/>
      <c r="LVJ36"/>
      <c r="LVK36"/>
      <c r="LVL36"/>
      <c r="LVM36"/>
      <c r="LVN36"/>
      <c r="LVO36"/>
      <c r="LVP36"/>
      <c r="LVQ36"/>
      <c r="LVR36"/>
      <c r="LVS36"/>
      <c r="LVT36"/>
      <c r="LVU36"/>
      <c r="LVV36"/>
      <c r="LVW36"/>
      <c r="LVX36"/>
      <c r="LVY36"/>
      <c r="LVZ36"/>
      <c r="LWA36"/>
      <c r="LWB36"/>
      <c r="LWC36"/>
      <c r="LWD36"/>
      <c r="LWE36"/>
      <c r="LWF36"/>
      <c r="LWG36"/>
      <c r="LWH36"/>
      <c r="LWI36"/>
      <c r="LWJ36"/>
      <c r="LWK36"/>
      <c r="LWL36"/>
      <c r="LWM36"/>
      <c r="LWN36"/>
      <c r="LWO36"/>
      <c r="LWP36"/>
      <c r="LWQ36"/>
      <c r="LWR36"/>
      <c r="LWS36"/>
      <c r="LWT36"/>
      <c r="LWU36"/>
      <c r="LWV36"/>
      <c r="LWW36"/>
      <c r="LWX36"/>
      <c r="LWY36"/>
      <c r="LWZ36"/>
      <c r="LXA36"/>
      <c r="LXB36"/>
      <c r="LXC36"/>
      <c r="LXD36"/>
      <c r="LXE36"/>
      <c r="LXF36"/>
      <c r="LXG36"/>
      <c r="LXH36"/>
      <c r="LXI36"/>
      <c r="LXJ36"/>
      <c r="LXK36"/>
      <c r="LXL36"/>
      <c r="LXM36"/>
      <c r="LXN36"/>
      <c r="LXO36"/>
      <c r="LXP36"/>
      <c r="LXQ36"/>
      <c r="LXR36"/>
      <c r="LXS36"/>
      <c r="LXT36"/>
      <c r="LXU36"/>
      <c r="LXV36"/>
      <c r="LXW36"/>
      <c r="LXX36"/>
      <c r="LXY36"/>
      <c r="LXZ36"/>
      <c r="LYA36"/>
      <c r="LYB36"/>
      <c r="LYC36"/>
      <c r="LYD36"/>
      <c r="LYE36"/>
      <c r="LYF36"/>
      <c r="LYG36"/>
      <c r="LYH36"/>
      <c r="LYI36"/>
      <c r="LYJ36"/>
      <c r="LYK36"/>
      <c r="LYL36"/>
      <c r="LYM36"/>
      <c r="LYN36"/>
      <c r="LYO36"/>
      <c r="LYP36"/>
      <c r="LYQ36"/>
      <c r="LYR36"/>
      <c r="LYS36"/>
      <c r="LYT36"/>
      <c r="LYU36"/>
      <c r="LYV36"/>
      <c r="LYW36"/>
      <c r="LYX36"/>
      <c r="LYY36"/>
      <c r="LYZ36"/>
      <c r="LZA36"/>
      <c r="LZB36"/>
      <c r="LZC36"/>
      <c r="LZD36"/>
      <c r="LZE36"/>
      <c r="LZF36"/>
      <c r="LZG36"/>
      <c r="LZH36"/>
      <c r="LZI36"/>
      <c r="LZJ36"/>
      <c r="LZK36"/>
      <c r="LZL36"/>
      <c r="LZM36"/>
      <c r="LZN36"/>
      <c r="LZO36"/>
      <c r="LZP36"/>
      <c r="LZQ36"/>
      <c r="LZR36"/>
      <c r="LZS36"/>
      <c r="LZT36"/>
      <c r="LZU36"/>
      <c r="LZV36"/>
      <c r="LZW36"/>
      <c r="LZX36"/>
      <c r="LZY36"/>
      <c r="LZZ36"/>
      <c r="MAA36"/>
      <c r="MAB36"/>
      <c r="MAC36"/>
      <c r="MAD36"/>
      <c r="MAE36"/>
      <c r="MAF36"/>
      <c r="MAG36"/>
      <c r="MAH36"/>
      <c r="MAI36"/>
      <c r="MAJ36"/>
      <c r="MAK36"/>
      <c r="MAL36"/>
      <c r="MAM36"/>
      <c r="MAN36"/>
      <c r="MAO36"/>
      <c r="MAP36"/>
      <c r="MAQ36"/>
      <c r="MAR36"/>
      <c r="MAS36"/>
      <c r="MAT36"/>
      <c r="MAU36"/>
      <c r="MAV36"/>
      <c r="MAW36"/>
      <c r="MAX36"/>
      <c r="MAY36"/>
      <c r="MAZ36"/>
      <c r="MBA36"/>
      <c r="MBB36"/>
      <c r="MBC36"/>
      <c r="MBD36"/>
      <c r="MBE36"/>
      <c r="MBF36"/>
      <c r="MBG36"/>
      <c r="MBH36"/>
      <c r="MBI36"/>
      <c r="MBJ36"/>
      <c r="MBK36"/>
      <c r="MBL36"/>
      <c r="MBM36"/>
      <c r="MBN36"/>
      <c r="MBO36"/>
      <c r="MBP36"/>
      <c r="MBQ36"/>
      <c r="MBR36"/>
      <c r="MBS36"/>
      <c r="MBT36"/>
      <c r="MBU36"/>
      <c r="MBV36"/>
      <c r="MBW36"/>
      <c r="MBX36"/>
      <c r="MBY36"/>
      <c r="MBZ36"/>
      <c r="MCA36"/>
      <c r="MCB36"/>
      <c r="MCC36"/>
      <c r="MCD36"/>
      <c r="MCE36"/>
      <c r="MCF36"/>
      <c r="MCG36"/>
      <c r="MCH36"/>
      <c r="MCI36"/>
      <c r="MCJ36"/>
      <c r="MCK36"/>
      <c r="MCL36"/>
      <c r="MCM36"/>
      <c r="MCN36"/>
      <c r="MCO36"/>
      <c r="MCP36"/>
      <c r="MCQ36"/>
      <c r="MCR36"/>
      <c r="MCS36"/>
      <c r="MCT36"/>
      <c r="MCU36"/>
      <c r="MCV36"/>
      <c r="MCW36"/>
      <c r="MCX36"/>
      <c r="MCY36"/>
      <c r="MCZ36"/>
      <c r="MDA36"/>
      <c r="MDB36"/>
      <c r="MDC36"/>
      <c r="MDD36"/>
      <c r="MDE36"/>
      <c r="MDF36"/>
      <c r="MDG36"/>
      <c r="MDH36"/>
      <c r="MDI36"/>
      <c r="MDJ36"/>
      <c r="MDK36"/>
      <c r="MDL36"/>
      <c r="MDM36"/>
      <c r="MDN36"/>
      <c r="MDO36"/>
      <c r="MDP36"/>
      <c r="MDQ36"/>
      <c r="MDR36"/>
      <c r="MDS36"/>
      <c r="MDT36"/>
      <c r="MDU36"/>
      <c r="MDV36"/>
      <c r="MDW36"/>
      <c r="MDX36"/>
      <c r="MDY36"/>
      <c r="MDZ36"/>
      <c r="MEA36"/>
      <c r="MEB36"/>
      <c r="MEC36"/>
      <c r="MED36"/>
      <c r="MEE36"/>
      <c r="MEF36"/>
      <c r="MEG36"/>
      <c r="MEH36"/>
      <c r="MEI36"/>
      <c r="MEJ36"/>
      <c r="MEK36"/>
      <c r="MEL36"/>
      <c r="MEM36"/>
      <c r="MEN36"/>
      <c r="MEO36"/>
      <c r="MEP36"/>
      <c r="MEQ36"/>
      <c r="MER36"/>
      <c r="MES36"/>
      <c r="MET36"/>
      <c r="MEU36"/>
      <c r="MEV36"/>
      <c r="MEW36"/>
      <c r="MEX36"/>
      <c r="MEY36"/>
      <c r="MEZ36"/>
      <c r="MFA36"/>
      <c r="MFB36"/>
      <c r="MFC36"/>
      <c r="MFD36"/>
      <c r="MFE36"/>
      <c r="MFF36"/>
      <c r="MFG36"/>
      <c r="MFH36"/>
      <c r="MFI36"/>
      <c r="MFJ36"/>
      <c r="MFK36"/>
      <c r="MFL36"/>
      <c r="MFM36"/>
      <c r="MFN36"/>
      <c r="MFO36"/>
      <c r="MFP36"/>
      <c r="MFQ36"/>
      <c r="MFR36"/>
      <c r="MFS36"/>
      <c r="MFT36"/>
      <c r="MFU36"/>
      <c r="MFV36"/>
      <c r="MFW36"/>
      <c r="MFX36"/>
      <c r="MFY36"/>
      <c r="MFZ36"/>
      <c r="MGA36"/>
      <c r="MGB36"/>
      <c r="MGC36"/>
      <c r="MGD36"/>
      <c r="MGE36"/>
      <c r="MGF36"/>
      <c r="MGG36"/>
      <c r="MGH36"/>
      <c r="MGI36"/>
      <c r="MGJ36"/>
      <c r="MGK36"/>
      <c r="MGL36"/>
      <c r="MGM36"/>
      <c r="MGN36"/>
      <c r="MGO36"/>
      <c r="MGP36"/>
      <c r="MGQ36"/>
      <c r="MGR36"/>
      <c r="MGS36"/>
      <c r="MGT36"/>
      <c r="MGU36"/>
      <c r="MGV36"/>
      <c r="MGW36"/>
      <c r="MGX36"/>
      <c r="MGY36"/>
      <c r="MGZ36"/>
      <c r="MHA36"/>
      <c r="MHB36"/>
      <c r="MHC36"/>
      <c r="MHD36"/>
      <c r="MHE36"/>
      <c r="MHF36"/>
      <c r="MHG36"/>
      <c r="MHH36"/>
      <c r="MHI36"/>
      <c r="MHJ36"/>
      <c r="MHK36"/>
      <c r="MHL36"/>
      <c r="MHM36"/>
      <c r="MHN36"/>
      <c r="MHO36"/>
      <c r="MHP36"/>
      <c r="MHQ36"/>
      <c r="MHR36"/>
      <c r="MHS36"/>
      <c r="MHT36"/>
      <c r="MHU36"/>
      <c r="MHV36"/>
      <c r="MHW36"/>
      <c r="MHX36"/>
      <c r="MHY36"/>
      <c r="MHZ36"/>
      <c r="MIA36"/>
      <c r="MIB36"/>
      <c r="MIC36"/>
      <c r="MID36"/>
      <c r="MIE36"/>
      <c r="MIF36"/>
      <c r="MIG36"/>
      <c r="MIH36"/>
      <c r="MII36"/>
      <c r="MIJ36"/>
      <c r="MIK36"/>
      <c r="MIL36"/>
      <c r="MIM36"/>
      <c r="MIN36"/>
      <c r="MIO36"/>
      <c r="MIP36"/>
      <c r="MIQ36"/>
      <c r="MIR36"/>
      <c r="MIS36"/>
      <c r="MIT36"/>
      <c r="MIU36"/>
      <c r="MIV36"/>
      <c r="MIW36"/>
      <c r="MIX36"/>
      <c r="MIY36"/>
      <c r="MIZ36"/>
      <c r="MJA36"/>
      <c r="MJB36"/>
      <c r="MJC36"/>
      <c r="MJD36"/>
      <c r="MJE36"/>
      <c r="MJF36"/>
      <c r="MJG36"/>
      <c r="MJH36"/>
      <c r="MJI36"/>
      <c r="MJJ36"/>
      <c r="MJK36"/>
      <c r="MJL36"/>
      <c r="MJM36"/>
      <c r="MJN36"/>
      <c r="MJO36"/>
      <c r="MJP36"/>
      <c r="MJQ36"/>
      <c r="MJR36"/>
      <c r="MJS36"/>
      <c r="MJT36"/>
      <c r="MJU36"/>
      <c r="MJV36"/>
      <c r="MJW36"/>
      <c r="MJX36"/>
      <c r="MJY36"/>
      <c r="MJZ36"/>
      <c r="MKA36"/>
      <c r="MKB36"/>
      <c r="MKC36"/>
      <c r="MKD36"/>
      <c r="MKE36"/>
      <c r="MKF36"/>
      <c r="MKG36"/>
      <c r="MKH36"/>
      <c r="MKI36"/>
      <c r="MKJ36"/>
      <c r="MKK36"/>
      <c r="MKL36"/>
      <c r="MKM36"/>
      <c r="MKN36"/>
      <c r="MKO36"/>
      <c r="MKP36"/>
      <c r="MKQ36"/>
      <c r="MKR36"/>
      <c r="MKS36"/>
      <c r="MKT36"/>
      <c r="MKU36"/>
      <c r="MKV36"/>
      <c r="MKW36"/>
      <c r="MKX36"/>
      <c r="MKY36"/>
      <c r="MKZ36"/>
      <c r="MLA36"/>
      <c r="MLB36"/>
      <c r="MLC36"/>
      <c r="MLD36"/>
      <c r="MLE36"/>
      <c r="MLF36"/>
      <c r="MLG36"/>
      <c r="MLH36"/>
      <c r="MLI36"/>
      <c r="MLJ36"/>
      <c r="MLK36"/>
      <c r="MLL36"/>
      <c r="MLM36"/>
      <c r="MLN36"/>
      <c r="MLO36"/>
      <c r="MLP36"/>
      <c r="MLQ36"/>
      <c r="MLR36"/>
      <c r="MLS36"/>
      <c r="MLT36"/>
      <c r="MLU36"/>
      <c r="MLV36"/>
      <c r="MLW36"/>
      <c r="MLX36"/>
      <c r="MLY36"/>
      <c r="MLZ36"/>
      <c r="MMA36"/>
      <c r="MMB36"/>
      <c r="MMC36"/>
      <c r="MMD36"/>
      <c r="MME36"/>
      <c r="MMF36"/>
      <c r="MMG36"/>
      <c r="MMH36"/>
      <c r="MMI36"/>
      <c r="MMJ36"/>
      <c r="MMK36"/>
      <c r="MML36"/>
      <c r="MMM36"/>
      <c r="MMN36"/>
      <c r="MMO36"/>
      <c r="MMP36"/>
      <c r="MMQ36"/>
      <c r="MMR36"/>
      <c r="MMS36"/>
      <c r="MMT36"/>
      <c r="MMU36"/>
      <c r="MMV36"/>
      <c r="MMW36"/>
      <c r="MMX36"/>
      <c r="MMY36"/>
      <c r="MMZ36"/>
      <c r="MNA36"/>
      <c r="MNB36"/>
      <c r="MNC36"/>
      <c r="MND36"/>
      <c r="MNE36"/>
      <c r="MNF36"/>
      <c r="MNG36"/>
      <c r="MNH36"/>
      <c r="MNI36"/>
      <c r="MNJ36"/>
      <c r="MNK36"/>
      <c r="MNL36"/>
      <c r="MNM36"/>
      <c r="MNN36"/>
      <c r="MNO36"/>
      <c r="MNP36"/>
      <c r="MNQ36"/>
      <c r="MNR36"/>
      <c r="MNS36"/>
      <c r="MNT36"/>
      <c r="MNU36"/>
      <c r="MNV36"/>
      <c r="MNW36"/>
      <c r="MNX36"/>
      <c r="MNY36"/>
      <c r="MNZ36"/>
      <c r="MOA36"/>
      <c r="MOB36"/>
      <c r="MOC36"/>
      <c r="MOD36"/>
      <c r="MOE36"/>
      <c r="MOF36"/>
      <c r="MOG36"/>
      <c r="MOH36"/>
      <c r="MOI36"/>
      <c r="MOJ36"/>
      <c r="MOK36"/>
      <c r="MOL36"/>
      <c r="MOM36"/>
      <c r="MON36"/>
      <c r="MOO36"/>
      <c r="MOP36"/>
      <c r="MOQ36"/>
      <c r="MOR36"/>
      <c r="MOS36"/>
      <c r="MOT36"/>
      <c r="MOU36"/>
      <c r="MOV36"/>
      <c r="MOW36"/>
      <c r="MOX36"/>
      <c r="MOY36"/>
      <c r="MOZ36"/>
      <c r="MPA36"/>
      <c r="MPB36"/>
      <c r="MPC36"/>
      <c r="MPD36"/>
      <c r="MPE36"/>
      <c r="MPF36"/>
      <c r="MPG36"/>
      <c r="MPH36"/>
      <c r="MPI36"/>
      <c r="MPJ36"/>
      <c r="MPK36"/>
      <c r="MPL36"/>
      <c r="MPM36"/>
      <c r="MPN36"/>
      <c r="MPO36"/>
      <c r="MPP36"/>
      <c r="MPQ36"/>
      <c r="MPR36"/>
      <c r="MPS36"/>
      <c r="MPT36"/>
      <c r="MPU36"/>
      <c r="MPV36"/>
      <c r="MPW36"/>
      <c r="MPX36"/>
      <c r="MPY36"/>
      <c r="MPZ36"/>
      <c r="MQA36"/>
      <c r="MQB36"/>
      <c r="MQC36"/>
      <c r="MQD36"/>
      <c r="MQE36"/>
      <c r="MQF36"/>
      <c r="MQG36"/>
      <c r="MQH36"/>
      <c r="MQI36"/>
      <c r="MQJ36"/>
      <c r="MQK36"/>
      <c r="MQL36"/>
      <c r="MQM36"/>
      <c r="MQN36"/>
      <c r="MQO36"/>
      <c r="MQP36"/>
      <c r="MQQ36"/>
      <c r="MQR36"/>
      <c r="MQS36"/>
      <c r="MQT36"/>
      <c r="MQU36"/>
      <c r="MQV36"/>
      <c r="MQW36"/>
      <c r="MQX36"/>
      <c r="MQY36"/>
      <c r="MQZ36"/>
      <c r="MRA36"/>
      <c r="MRB36"/>
      <c r="MRC36"/>
      <c r="MRD36"/>
      <c r="MRE36"/>
      <c r="MRF36"/>
      <c r="MRG36"/>
      <c r="MRH36"/>
      <c r="MRI36"/>
      <c r="MRJ36"/>
      <c r="MRK36"/>
      <c r="MRL36"/>
      <c r="MRM36"/>
      <c r="MRN36"/>
      <c r="MRO36"/>
      <c r="MRP36"/>
      <c r="MRQ36"/>
      <c r="MRR36"/>
      <c r="MRS36"/>
      <c r="MRT36"/>
      <c r="MRU36"/>
      <c r="MRV36"/>
      <c r="MRW36"/>
      <c r="MRX36"/>
      <c r="MRY36"/>
      <c r="MRZ36"/>
      <c r="MSA36"/>
      <c r="MSB36"/>
      <c r="MSC36"/>
      <c r="MSD36"/>
      <c r="MSE36"/>
      <c r="MSF36"/>
      <c r="MSG36"/>
      <c r="MSH36"/>
      <c r="MSI36"/>
      <c r="MSJ36"/>
      <c r="MSK36"/>
      <c r="MSL36"/>
      <c r="MSM36"/>
      <c r="MSN36"/>
      <c r="MSO36"/>
      <c r="MSP36"/>
      <c r="MSQ36"/>
      <c r="MSR36"/>
      <c r="MSS36"/>
      <c r="MST36"/>
      <c r="MSU36"/>
      <c r="MSV36"/>
      <c r="MSW36"/>
      <c r="MSX36"/>
      <c r="MSY36"/>
      <c r="MSZ36"/>
      <c r="MTA36"/>
      <c r="MTB36"/>
      <c r="MTC36"/>
      <c r="MTD36"/>
      <c r="MTE36"/>
      <c r="MTF36"/>
      <c r="MTG36"/>
      <c r="MTH36"/>
      <c r="MTI36"/>
      <c r="MTJ36"/>
      <c r="MTK36"/>
      <c r="MTL36"/>
      <c r="MTM36"/>
      <c r="MTN36"/>
      <c r="MTO36"/>
      <c r="MTP36"/>
      <c r="MTQ36"/>
      <c r="MTR36"/>
      <c r="MTS36"/>
      <c r="MTT36"/>
      <c r="MTU36"/>
      <c r="MTV36"/>
      <c r="MTW36"/>
      <c r="MTX36"/>
      <c r="MTY36"/>
      <c r="MTZ36"/>
      <c r="MUA36"/>
      <c r="MUB36"/>
      <c r="MUC36"/>
      <c r="MUD36"/>
      <c r="MUE36"/>
      <c r="MUF36"/>
      <c r="MUG36"/>
      <c r="MUH36"/>
      <c r="MUI36"/>
      <c r="MUJ36"/>
      <c r="MUK36"/>
      <c r="MUL36"/>
      <c r="MUM36"/>
      <c r="MUN36"/>
      <c r="MUO36"/>
      <c r="MUP36"/>
      <c r="MUQ36"/>
      <c r="MUR36"/>
      <c r="MUS36"/>
      <c r="MUT36"/>
      <c r="MUU36"/>
      <c r="MUV36"/>
      <c r="MUW36"/>
      <c r="MUX36"/>
      <c r="MUY36"/>
      <c r="MUZ36"/>
      <c r="MVA36"/>
      <c r="MVB36"/>
      <c r="MVC36"/>
      <c r="MVD36"/>
      <c r="MVE36"/>
      <c r="MVF36"/>
      <c r="MVG36"/>
      <c r="MVH36"/>
      <c r="MVI36"/>
      <c r="MVJ36"/>
      <c r="MVK36"/>
      <c r="MVL36"/>
      <c r="MVM36"/>
      <c r="MVN36"/>
      <c r="MVO36"/>
      <c r="MVP36"/>
      <c r="MVQ36"/>
      <c r="MVR36"/>
      <c r="MVS36"/>
      <c r="MVT36"/>
      <c r="MVU36"/>
      <c r="MVV36"/>
      <c r="MVW36"/>
      <c r="MVX36"/>
      <c r="MVY36"/>
      <c r="MVZ36"/>
      <c r="MWA36"/>
      <c r="MWB36"/>
      <c r="MWC36"/>
      <c r="MWD36"/>
      <c r="MWE36"/>
      <c r="MWF36"/>
      <c r="MWG36"/>
      <c r="MWH36"/>
      <c r="MWI36"/>
      <c r="MWJ36"/>
      <c r="MWK36"/>
      <c r="MWL36"/>
      <c r="MWM36"/>
      <c r="MWN36"/>
      <c r="MWO36"/>
      <c r="MWP36"/>
      <c r="MWQ36"/>
      <c r="MWR36"/>
      <c r="MWS36"/>
      <c r="MWT36"/>
      <c r="MWU36"/>
      <c r="MWV36"/>
      <c r="MWW36"/>
      <c r="MWX36"/>
      <c r="MWY36"/>
      <c r="MWZ36"/>
      <c r="MXA36"/>
      <c r="MXB36"/>
      <c r="MXC36"/>
      <c r="MXD36"/>
      <c r="MXE36"/>
      <c r="MXF36"/>
      <c r="MXG36"/>
      <c r="MXH36"/>
      <c r="MXI36"/>
      <c r="MXJ36"/>
      <c r="MXK36"/>
      <c r="MXL36"/>
      <c r="MXM36"/>
      <c r="MXN36"/>
      <c r="MXO36"/>
      <c r="MXP36"/>
      <c r="MXQ36"/>
      <c r="MXR36"/>
      <c r="MXS36"/>
      <c r="MXT36"/>
      <c r="MXU36"/>
      <c r="MXV36"/>
      <c r="MXW36"/>
      <c r="MXX36"/>
      <c r="MXY36"/>
      <c r="MXZ36"/>
      <c r="MYA36"/>
      <c r="MYB36"/>
      <c r="MYC36"/>
      <c r="MYD36"/>
      <c r="MYE36"/>
      <c r="MYF36"/>
      <c r="MYG36"/>
      <c r="MYH36"/>
      <c r="MYI36"/>
      <c r="MYJ36"/>
      <c r="MYK36"/>
      <c r="MYL36"/>
      <c r="MYM36"/>
      <c r="MYN36"/>
      <c r="MYO36"/>
      <c r="MYP36"/>
      <c r="MYQ36"/>
      <c r="MYR36"/>
      <c r="MYS36"/>
      <c r="MYT36"/>
      <c r="MYU36"/>
      <c r="MYV36"/>
      <c r="MYW36"/>
      <c r="MYX36"/>
      <c r="MYY36"/>
      <c r="MYZ36"/>
      <c r="MZA36"/>
      <c r="MZB36"/>
      <c r="MZC36"/>
      <c r="MZD36"/>
      <c r="MZE36"/>
      <c r="MZF36"/>
      <c r="MZG36"/>
      <c r="MZH36"/>
      <c r="MZI36"/>
      <c r="MZJ36"/>
      <c r="MZK36"/>
      <c r="MZL36"/>
      <c r="MZM36"/>
      <c r="MZN36"/>
      <c r="MZO36"/>
      <c r="MZP36"/>
      <c r="MZQ36"/>
      <c r="MZR36"/>
      <c r="MZS36"/>
      <c r="MZT36"/>
      <c r="MZU36"/>
      <c r="MZV36"/>
      <c r="MZW36"/>
      <c r="MZX36"/>
      <c r="MZY36"/>
      <c r="MZZ36"/>
      <c r="NAA36"/>
      <c r="NAB36"/>
      <c r="NAC36"/>
      <c r="NAD36"/>
      <c r="NAE36"/>
      <c r="NAF36"/>
      <c r="NAG36"/>
      <c r="NAH36"/>
      <c r="NAI36"/>
      <c r="NAJ36"/>
      <c r="NAK36"/>
      <c r="NAL36"/>
      <c r="NAM36"/>
      <c r="NAN36"/>
      <c r="NAO36"/>
      <c r="NAP36"/>
      <c r="NAQ36"/>
      <c r="NAR36"/>
      <c r="NAS36"/>
      <c r="NAT36"/>
      <c r="NAU36"/>
      <c r="NAV36"/>
      <c r="NAW36"/>
      <c r="NAX36"/>
      <c r="NAY36"/>
      <c r="NAZ36"/>
      <c r="NBA36"/>
      <c r="NBB36"/>
      <c r="NBC36"/>
      <c r="NBD36"/>
      <c r="NBE36"/>
      <c r="NBF36"/>
      <c r="NBG36"/>
      <c r="NBH36"/>
      <c r="NBI36"/>
      <c r="NBJ36"/>
      <c r="NBK36"/>
      <c r="NBL36"/>
      <c r="NBM36"/>
      <c r="NBN36"/>
      <c r="NBO36"/>
      <c r="NBP36"/>
      <c r="NBQ36"/>
      <c r="NBR36"/>
      <c r="NBS36"/>
      <c r="NBT36"/>
      <c r="NBU36"/>
      <c r="NBV36"/>
      <c r="NBW36"/>
      <c r="NBX36"/>
      <c r="NBY36"/>
      <c r="NBZ36"/>
      <c r="NCA36"/>
      <c r="NCB36"/>
      <c r="NCC36"/>
      <c r="NCD36"/>
      <c r="NCE36"/>
      <c r="NCF36"/>
      <c r="NCG36"/>
      <c r="NCH36"/>
      <c r="NCI36"/>
      <c r="NCJ36"/>
      <c r="NCK36"/>
      <c r="NCL36"/>
      <c r="NCM36"/>
      <c r="NCN36"/>
      <c r="NCO36"/>
      <c r="NCP36"/>
      <c r="NCQ36"/>
      <c r="NCR36"/>
      <c r="NCS36"/>
      <c r="NCT36"/>
      <c r="NCU36"/>
      <c r="NCV36"/>
      <c r="NCW36"/>
      <c r="NCX36"/>
      <c r="NCY36"/>
      <c r="NCZ36"/>
      <c r="NDA36"/>
      <c r="NDB36"/>
      <c r="NDC36"/>
      <c r="NDD36"/>
      <c r="NDE36"/>
      <c r="NDF36"/>
      <c r="NDG36"/>
      <c r="NDH36"/>
      <c r="NDI36"/>
      <c r="NDJ36"/>
      <c r="NDK36"/>
      <c r="NDL36"/>
      <c r="NDM36"/>
      <c r="NDN36"/>
      <c r="NDO36"/>
      <c r="NDP36"/>
      <c r="NDQ36"/>
      <c r="NDR36"/>
      <c r="NDS36"/>
      <c r="NDT36"/>
      <c r="NDU36"/>
      <c r="NDV36"/>
      <c r="NDW36"/>
      <c r="NDX36"/>
      <c r="NDY36"/>
      <c r="NDZ36"/>
      <c r="NEA36"/>
      <c r="NEB36"/>
      <c r="NEC36"/>
      <c r="NED36"/>
      <c r="NEE36"/>
      <c r="NEF36"/>
      <c r="NEG36"/>
      <c r="NEH36"/>
      <c r="NEI36"/>
      <c r="NEJ36"/>
      <c r="NEK36"/>
      <c r="NEL36"/>
      <c r="NEM36"/>
      <c r="NEN36"/>
      <c r="NEO36"/>
      <c r="NEP36"/>
      <c r="NEQ36"/>
      <c r="NER36"/>
      <c r="NES36"/>
      <c r="NET36"/>
      <c r="NEU36"/>
      <c r="NEV36"/>
      <c r="NEW36"/>
      <c r="NEX36"/>
      <c r="NEY36"/>
      <c r="NEZ36"/>
      <c r="NFA36"/>
      <c r="NFB36"/>
      <c r="NFC36"/>
      <c r="NFD36"/>
      <c r="NFE36"/>
      <c r="NFF36"/>
      <c r="NFG36"/>
      <c r="NFH36"/>
      <c r="NFI36"/>
      <c r="NFJ36"/>
      <c r="NFK36"/>
      <c r="NFL36"/>
      <c r="NFM36"/>
      <c r="NFN36"/>
      <c r="NFO36"/>
      <c r="NFP36"/>
      <c r="NFQ36"/>
      <c r="NFR36"/>
      <c r="NFS36"/>
      <c r="NFT36"/>
      <c r="NFU36"/>
      <c r="NFV36"/>
      <c r="NFW36"/>
      <c r="NFX36"/>
      <c r="NFY36"/>
      <c r="NFZ36"/>
      <c r="NGA36"/>
      <c r="NGB36"/>
      <c r="NGC36"/>
      <c r="NGD36"/>
      <c r="NGE36"/>
      <c r="NGF36"/>
      <c r="NGG36"/>
      <c r="NGH36"/>
      <c r="NGI36"/>
      <c r="NGJ36"/>
      <c r="NGK36"/>
      <c r="NGL36"/>
      <c r="NGM36"/>
      <c r="NGN36"/>
      <c r="NGO36"/>
      <c r="NGP36"/>
      <c r="NGQ36"/>
      <c r="NGR36"/>
      <c r="NGS36"/>
      <c r="NGT36"/>
      <c r="NGU36"/>
      <c r="NGV36"/>
      <c r="NGW36"/>
      <c r="NGX36"/>
      <c r="NGY36"/>
      <c r="NGZ36"/>
      <c r="NHA36"/>
      <c r="NHB36"/>
      <c r="NHC36"/>
      <c r="NHD36"/>
      <c r="NHE36"/>
      <c r="NHF36"/>
      <c r="NHG36"/>
      <c r="NHH36"/>
      <c r="NHI36"/>
      <c r="NHJ36"/>
      <c r="NHK36"/>
      <c r="NHL36"/>
      <c r="NHM36"/>
      <c r="NHN36"/>
      <c r="NHO36"/>
      <c r="NHP36"/>
      <c r="NHQ36"/>
      <c r="NHR36"/>
      <c r="NHS36"/>
      <c r="NHT36"/>
      <c r="NHU36"/>
      <c r="NHV36"/>
      <c r="NHW36"/>
      <c r="NHX36"/>
      <c r="NHY36"/>
      <c r="NHZ36"/>
      <c r="NIA36"/>
      <c r="NIB36"/>
      <c r="NIC36"/>
      <c r="NID36"/>
      <c r="NIE36"/>
      <c r="NIF36"/>
      <c r="NIG36"/>
      <c r="NIH36"/>
      <c r="NII36"/>
      <c r="NIJ36"/>
      <c r="NIK36"/>
      <c r="NIL36"/>
      <c r="NIM36"/>
      <c r="NIN36"/>
      <c r="NIO36"/>
      <c r="NIP36"/>
      <c r="NIQ36"/>
      <c r="NIR36"/>
      <c r="NIS36"/>
      <c r="NIT36"/>
      <c r="NIU36"/>
      <c r="NIV36"/>
      <c r="NIW36"/>
      <c r="NIX36"/>
      <c r="NIY36"/>
      <c r="NIZ36"/>
      <c r="NJA36"/>
      <c r="NJB36"/>
      <c r="NJC36"/>
      <c r="NJD36"/>
      <c r="NJE36"/>
      <c r="NJF36"/>
      <c r="NJG36"/>
      <c r="NJH36"/>
      <c r="NJI36"/>
      <c r="NJJ36"/>
      <c r="NJK36"/>
      <c r="NJL36"/>
      <c r="NJM36"/>
      <c r="NJN36"/>
      <c r="NJO36"/>
      <c r="NJP36"/>
      <c r="NJQ36"/>
      <c r="NJR36"/>
      <c r="NJS36"/>
      <c r="NJT36"/>
      <c r="NJU36"/>
      <c r="NJV36"/>
      <c r="NJW36"/>
      <c r="NJX36"/>
      <c r="NJY36"/>
      <c r="NJZ36"/>
      <c r="NKA36"/>
      <c r="NKB36"/>
      <c r="NKC36"/>
      <c r="NKD36"/>
      <c r="NKE36"/>
      <c r="NKF36"/>
      <c r="NKG36"/>
      <c r="NKH36"/>
      <c r="NKI36"/>
      <c r="NKJ36"/>
      <c r="NKK36"/>
      <c r="NKL36"/>
      <c r="NKM36"/>
      <c r="NKN36"/>
      <c r="NKO36"/>
      <c r="NKP36"/>
      <c r="NKQ36"/>
      <c r="NKR36"/>
      <c r="NKS36"/>
      <c r="NKT36"/>
      <c r="NKU36"/>
      <c r="NKV36"/>
      <c r="NKW36"/>
      <c r="NKX36"/>
      <c r="NKY36"/>
      <c r="NKZ36"/>
      <c r="NLA36"/>
      <c r="NLB36"/>
      <c r="NLC36"/>
      <c r="NLD36"/>
      <c r="NLE36"/>
      <c r="NLF36"/>
      <c r="NLG36"/>
      <c r="NLH36"/>
      <c r="NLI36"/>
      <c r="NLJ36"/>
      <c r="NLK36"/>
      <c r="NLL36"/>
      <c r="NLM36"/>
      <c r="NLN36"/>
      <c r="NLO36"/>
      <c r="NLP36"/>
      <c r="NLQ36"/>
      <c r="NLR36"/>
      <c r="NLS36"/>
      <c r="NLT36"/>
      <c r="NLU36"/>
      <c r="NLV36"/>
      <c r="NLW36"/>
      <c r="NLX36"/>
      <c r="NLY36"/>
      <c r="NLZ36"/>
      <c r="NMA36"/>
      <c r="NMB36"/>
      <c r="NMC36"/>
      <c r="NMD36"/>
      <c r="NME36"/>
      <c r="NMF36"/>
      <c r="NMG36"/>
      <c r="NMH36"/>
      <c r="NMI36"/>
      <c r="NMJ36"/>
      <c r="NMK36"/>
      <c r="NML36"/>
      <c r="NMM36"/>
      <c r="NMN36"/>
      <c r="NMO36"/>
      <c r="NMP36"/>
      <c r="NMQ36"/>
      <c r="NMR36"/>
      <c r="NMS36"/>
      <c r="NMT36"/>
      <c r="NMU36"/>
      <c r="NMV36"/>
      <c r="NMW36"/>
      <c r="NMX36"/>
      <c r="NMY36"/>
      <c r="NMZ36"/>
      <c r="NNA36"/>
      <c r="NNB36"/>
      <c r="NNC36"/>
      <c r="NND36"/>
      <c r="NNE36"/>
      <c r="NNF36"/>
      <c r="NNG36"/>
      <c r="NNH36"/>
      <c r="NNI36"/>
      <c r="NNJ36"/>
      <c r="NNK36"/>
      <c r="NNL36"/>
      <c r="NNM36"/>
      <c r="NNN36"/>
      <c r="NNO36"/>
      <c r="NNP36"/>
      <c r="NNQ36"/>
      <c r="NNR36"/>
      <c r="NNS36"/>
      <c r="NNT36"/>
      <c r="NNU36"/>
      <c r="NNV36"/>
      <c r="NNW36"/>
      <c r="NNX36"/>
      <c r="NNY36"/>
      <c r="NNZ36"/>
      <c r="NOA36"/>
      <c r="NOB36"/>
      <c r="NOC36"/>
      <c r="NOD36"/>
      <c r="NOE36"/>
      <c r="NOF36"/>
      <c r="NOG36"/>
      <c r="NOH36"/>
      <c r="NOI36"/>
      <c r="NOJ36"/>
      <c r="NOK36"/>
      <c r="NOL36"/>
      <c r="NOM36"/>
      <c r="NON36"/>
      <c r="NOO36"/>
      <c r="NOP36"/>
      <c r="NOQ36"/>
      <c r="NOR36"/>
      <c r="NOS36"/>
      <c r="NOT36"/>
      <c r="NOU36"/>
      <c r="NOV36"/>
      <c r="NOW36"/>
      <c r="NOX36"/>
      <c r="NOY36"/>
      <c r="NOZ36"/>
      <c r="NPA36"/>
      <c r="NPB36"/>
      <c r="NPC36"/>
      <c r="NPD36"/>
      <c r="NPE36"/>
      <c r="NPF36"/>
      <c r="NPG36"/>
      <c r="NPH36"/>
      <c r="NPI36"/>
      <c r="NPJ36"/>
      <c r="NPK36"/>
      <c r="NPL36"/>
      <c r="NPM36"/>
      <c r="NPN36"/>
      <c r="NPO36"/>
      <c r="NPP36"/>
      <c r="NPQ36"/>
      <c r="NPR36"/>
      <c r="NPS36"/>
      <c r="NPT36"/>
      <c r="NPU36"/>
      <c r="NPV36"/>
      <c r="NPW36"/>
      <c r="NPX36"/>
      <c r="NPY36"/>
      <c r="NPZ36"/>
      <c r="NQA36"/>
      <c r="NQB36"/>
      <c r="NQC36"/>
      <c r="NQD36"/>
      <c r="NQE36"/>
      <c r="NQF36"/>
      <c r="NQG36"/>
      <c r="NQH36"/>
      <c r="NQI36"/>
      <c r="NQJ36"/>
      <c r="NQK36"/>
      <c r="NQL36"/>
      <c r="NQM36"/>
      <c r="NQN36"/>
      <c r="NQO36"/>
      <c r="NQP36"/>
      <c r="NQQ36"/>
      <c r="NQR36"/>
      <c r="NQS36"/>
      <c r="NQT36"/>
      <c r="NQU36"/>
      <c r="NQV36"/>
      <c r="NQW36"/>
      <c r="NQX36"/>
      <c r="NQY36"/>
      <c r="NQZ36"/>
      <c r="NRA36"/>
      <c r="NRB36"/>
      <c r="NRC36"/>
      <c r="NRD36"/>
      <c r="NRE36"/>
      <c r="NRF36"/>
      <c r="NRG36"/>
      <c r="NRH36"/>
      <c r="NRI36"/>
      <c r="NRJ36"/>
      <c r="NRK36"/>
      <c r="NRL36"/>
      <c r="NRM36"/>
      <c r="NRN36"/>
      <c r="NRO36"/>
      <c r="NRP36"/>
      <c r="NRQ36"/>
      <c r="NRR36"/>
      <c r="NRS36"/>
      <c r="NRT36"/>
      <c r="NRU36"/>
      <c r="NRV36"/>
      <c r="NRW36"/>
      <c r="NRX36"/>
      <c r="NRY36"/>
      <c r="NRZ36"/>
      <c r="NSA36"/>
      <c r="NSB36"/>
      <c r="NSC36"/>
      <c r="NSD36"/>
      <c r="NSE36"/>
      <c r="NSF36"/>
      <c r="NSG36"/>
      <c r="NSH36"/>
      <c r="NSI36"/>
      <c r="NSJ36"/>
      <c r="NSK36"/>
      <c r="NSL36"/>
      <c r="NSM36"/>
      <c r="NSN36"/>
      <c r="NSO36"/>
      <c r="NSP36"/>
      <c r="NSQ36"/>
      <c r="NSR36"/>
      <c r="NSS36"/>
      <c r="NST36"/>
      <c r="NSU36"/>
      <c r="NSV36"/>
      <c r="NSW36"/>
      <c r="NSX36"/>
      <c r="NSY36"/>
      <c r="NSZ36"/>
      <c r="NTA36"/>
      <c r="NTB36"/>
      <c r="NTC36"/>
      <c r="NTD36"/>
      <c r="NTE36"/>
      <c r="NTF36"/>
      <c r="NTG36"/>
      <c r="NTH36"/>
      <c r="NTI36"/>
      <c r="NTJ36"/>
      <c r="NTK36"/>
      <c r="NTL36"/>
      <c r="NTM36"/>
      <c r="NTN36"/>
      <c r="NTO36"/>
      <c r="NTP36"/>
      <c r="NTQ36"/>
      <c r="NTR36"/>
      <c r="NTS36"/>
      <c r="NTT36"/>
      <c r="NTU36"/>
      <c r="NTV36"/>
      <c r="NTW36"/>
      <c r="NTX36"/>
      <c r="NTY36"/>
      <c r="NTZ36"/>
      <c r="NUA36"/>
      <c r="NUB36"/>
      <c r="NUC36"/>
      <c r="NUD36"/>
      <c r="NUE36"/>
      <c r="NUF36"/>
      <c r="NUG36"/>
      <c r="NUH36"/>
      <c r="NUI36"/>
      <c r="NUJ36"/>
      <c r="NUK36"/>
      <c r="NUL36"/>
      <c r="NUM36"/>
      <c r="NUN36"/>
      <c r="NUO36"/>
      <c r="NUP36"/>
      <c r="NUQ36"/>
      <c r="NUR36"/>
      <c r="NUS36"/>
      <c r="NUT36"/>
      <c r="NUU36"/>
      <c r="NUV36"/>
      <c r="NUW36"/>
      <c r="NUX36"/>
      <c r="NUY36"/>
      <c r="NUZ36"/>
      <c r="NVA36"/>
      <c r="NVB36"/>
      <c r="NVC36"/>
      <c r="NVD36"/>
      <c r="NVE36"/>
      <c r="NVF36"/>
      <c r="NVG36"/>
      <c r="NVH36"/>
      <c r="NVI36"/>
      <c r="NVJ36"/>
      <c r="NVK36"/>
      <c r="NVL36"/>
      <c r="NVM36"/>
      <c r="NVN36"/>
      <c r="NVO36"/>
      <c r="NVP36"/>
      <c r="NVQ36"/>
      <c r="NVR36"/>
      <c r="NVS36"/>
      <c r="NVT36"/>
      <c r="NVU36"/>
      <c r="NVV36"/>
      <c r="NVW36"/>
      <c r="NVX36"/>
      <c r="NVY36"/>
      <c r="NVZ36"/>
      <c r="NWA36"/>
      <c r="NWB36"/>
      <c r="NWC36"/>
      <c r="NWD36"/>
      <c r="NWE36"/>
      <c r="NWF36"/>
      <c r="NWG36"/>
      <c r="NWH36"/>
      <c r="NWI36"/>
      <c r="NWJ36"/>
      <c r="NWK36"/>
      <c r="NWL36"/>
      <c r="NWM36"/>
      <c r="NWN36"/>
      <c r="NWO36"/>
      <c r="NWP36"/>
      <c r="NWQ36"/>
      <c r="NWR36"/>
      <c r="NWS36"/>
      <c r="NWT36"/>
      <c r="NWU36"/>
      <c r="NWV36"/>
      <c r="NWW36"/>
      <c r="NWX36"/>
      <c r="NWY36"/>
      <c r="NWZ36"/>
      <c r="NXA36"/>
      <c r="NXB36"/>
      <c r="NXC36"/>
      <c r="NXD36"/>
      <c r="NXE36"/>
      <c r="NXF36"/>
      <c r="NXG36"/>
      <c r="NXH36"/>
      <c r="NXI36"/>
      <c r="NXJ36"/>
      <c r="NXK36"/>
      <c r="NXL36"/>
      <c r="NXM36"/>
      <c r="NXN36"/>
      <c r="NXO36"/>
      <c r="NXP36"/>
      <c r="NXQ36"/>
      <c r="NXR36"/>
      <c r="NXS36"/>
      <c r="NXT36"/>
      <c r="NXU36"/>
      <c r="NXV36"/>
      <c r="NXW36"/>
      <c r="NXX36"/>
      <c r="NXY36"/>
      <c r="NXZ36"/>
      <c r="NYA36"/>
      <c r="NYB36"/>
      <c r="NYC36"/>
      <c r="NYD36"/>
      <c r="NYE36"/>
      <c r="NYF36"/>
      <c r="NYG36"/>
      <c r="NYH36"/>
      <c r="NYI36"/>
      <c r="NYJ36"/>
      <c r="NYK36"/>
      <c r="NYL36"/>
      <c r="NYM36"/>
      <c r="NYN36"/>
      <c r="NYO36"/>
      <c r="NYP36"/>
      <c r="NYQ36"/>
      <c r="NYR36"/>
      <c r="NYS36"/>
      <c r="NYT36"/>
      <c r="NYU36"/>
      <c r="NYV36"/>
      <c r="NYW36"/>
      <c r="NYX36"/>
      <c r="NYY36"/>
      <c r="NYZ36"/>
      <c r="NZA36"/>
      <c r="NZB36"/>
      <c r="NZC36"/>
      <c r="NZD36"/>
      <c r="NZE36"/>
      <c r="NZF36"/>
      <c r="NZG36"/>
      <c r="NZH36"/>
      <c r="NZI36"/>
      <c r="NZJ36"/>
      <c r="NZK36"/>
      <c r="NZL36"/>
      <c r="NZM36"/>
      <c r="NZN36"/>
      <c r="NZO36"/>
      <c r="NZP36"/>
      <c r="NZQ36"/>
      <c r="NZR36"/>
      <c r="NZS36"/>
      <c r="NZT36"/>
      <c r="NZU36"/>
      <c r="NZV36"/>
      <c r="NZW36"/>
      <c r="NZX36"/>
      <c r="NZY36"/>
      <c r="NZZ36"/>
      <c r="OAA36"/>
      <c r="OAB36"/>
      <c r="OAC36"/>
      <c r="OAD36"/>
      <c r="OAE36"/>
      <c r="OAF36"/>
      <c r="OAG36"/>
      <c r="OAH36"/>
      <c r="OAI36"/>
      <c r="OAJ36"/>
      <c r="OAK36"/>
      <c r="OAL36"/>
      <c r="OAM36"/>
      <c r="OAN36"/>
      <c r="OAO36"/>
      <c r="OAP36"/>
      <c r="OAQ36"/>
      <c r="OAR36"/>
      <c r="OAS36"/>
      <c r="OAT36"/>
      <c r="OAU36"/>
      <c r="OAV36"/>
      <c r="OAW36"/>
      <c r="OAX36"/>
      <c r="OAY36"/>
      <c r="OAZ36"/>
      <c r="OBA36"/>
      <c r="OBB36"/>
      <c r="OBC36"/>
      <c r="OBD36"/>
      <c r="OBE36"/>
      <c r="OBF36"/>
      <c r="OBG36"/>
      <c r="OBH36"/>
      <c r="OBI36"/>
      <c r="OBJ36"/>
      <c r="OBK36"/>
      <c r="OBL36"/>
      <c r="OBM36"/>
      <c r="OBN36"/>
      <c r="OBO36"/>
      <c r="OBP36"/>
      <c r="OBQ36"/>
      <c r="OBR36"/>
      <c r="OBS36"/>
      <c r="OBT36"/>
      <c r="OBU36"/>
      <c r="OBV36"/>
      <c r="OBW36"/>
      <c r="OBX36"/>
      <c r="OBY36"/>
      <c r="OBZ36"/>
      <c r="OCA36"/>
      <c r="OCB36"/>
      <c r="OCC36"/>
      <c r="OCD36"/>
      <c r="OCE36"/>
      <c r="OCF36"/>
      <c r="OCG36"/>
      <c r="OCH36"/>
      <c r="OCI36"/>
      <c r="OCJ36"/>
      <c r="OCK36"/>
      <c r="OCL36"/>
      <c r="OCM36"/>
      <c r="OCN36"/>
      <c r="OCO36"/>
      <c r="OCP36"/>
      <c r="OCQ36"/>
      <c r="OCR36"/>
      <c r="OCS36"/>
      <c r="OCT36"/>
      <c r="OCU36"/>
      <c r="OCV36"/>
      <c r="OCW36"/>
      <c r="OCX36"/>
      <c r="OCY36"/>
      <c r="OCZ36"/>
      <c r="ODA36"/>
      <c r="ODB36"/>
      <c r="ODC36"/>
      <c r="ODD36"/>
      <c r="ODE36"/>
      <c r="ODF36"/>
      <c r="ODG36"/>
      <c r="ODH36"/>
      <c r="ODI36"/>
      <c r="ODJ36"/>
      <c r="ODK36"/>
      <c r="ODL36"/>
      <c r="ODM36"/>
      <c r="ODN36"/>
      <c r="ODO36"/>
      <c r="ODP36"/>
      <c r="ODQ36"/>
      <c r="ODR36"/>
      <c r="ODS36"/>
      <c r="ODT36"/>
      <c r="ODU36"/>
      <c r="ODV36"/>
      <c r="ODW36"/>
      <c r="ODX36"/>
      <c r="ODY36"/>
      <c r="ODZ36"/>
      <c r="OEA36"/>
      <c r="OEB36"/>
      <c r="OEC36"/>
      <c r="OED36"/>
      <c r="OEE36"/>
      <c r="OEF36"/>
      <c r="OEG36"/>
      <c r="OEH36"/>
      <c r="OEI36"/>
      <c r="OEJ36"/>
      <c r="OEK36"/>
      <c r="OEL36"/>
      <c r="OEM36"/>
      <c r="OEN36"/>
      <c r="OEO36"/>
      <c r="OEP36"/>
      <c r="OEQ36"/>
      <c r="OER36"/>
      <c r="OES36"/>
      <c r="OET36"/>
      <c r="OEU36"/>
      <c r="OEV36"/>
      <c r="OEW36"/>
      <c r="OEX36"/>
      <c r="OEY36"/>
      <c r="OEZ36"/>
      <c r="OFA36"/>
      <c r="OFB36"/>
      <c r="OFC36"/>
      <c r="OFD36"/>
      <c r="OFE36"/>
      <c r="OFF36"/>
      <c r="OFG36"/>
      <c r="OFH36"/>
      <c r="OFI36"/>
      <c r="OFJ36"/>
      <c r="OFK36"/>
      <c r="OFL36"/>
      <c r="OFM36"/>
      <c r="OFN36"/>
      <c r="OFO36"/>
      <c r="OFP36"/>
      <c r="OFQ36"/>
      <c r="OFR36"/>
      <c r="OFS36"/>
      <c r="OFT36"/>
      <c r="OFU36"/>
      <c r="OFV36"/>
      <c r="OFW36"/>
      <c r="OFX36"/>
      <c r="OFY36"/>
      <c r="OFZ36"/>
      <c r="OGA36"/>
      <c r="OGB36"/>
      <c r="OGC36"/>
      <c r="OGD36"/>
      <c r="OGE36"/>
      <c r="OGF36"/>
      <c r="OGG36"/>
      <c r="OGH36"/>
      <c r="OGI36"/>
      <c r="OGJ36"/>
      <c r="OGK36"/>
      <c r="OGL36"/>
      <c r="OGM36"/>
      <c r="OGN36"/>
      <c r="OGO36"/>
      <c r="OGP36"/>
      <c r="OGQ36"/>
      <c r="OGR36"/>
      <c r="OGS36"/>
      <c r="OGT36"/>
      <c r="OGU36"/>
      <c r="OGV36"/>
      <c r="OGW36"/>
      <c r="OGX36"/>
      <c r="OGY36"/>
      <c r="OGZ36"/>
      <c r="OHA36"/>
      <c r="OHB36"/>
      <c r="OHC36"/>
      <c r="OHD36"/>
      <c r="OHE36"/>
      <c r="OHF36"/>
      <c r="OHG36"/>
      <c r="OHH36"/>
      <c r="OHI36"/>
      <c r="OHJ36"/>
      <c r="OHK36"/>
      <c r="OHL36"/>
      <c r="OHM36"/>
      <c r="OHN36"/>
      <c r="OHO36"/>
      <c r="OHP36"/>
      <c r="OHQ36"/>
      <c r="OHR36"/>
      <c r="OHS36"/>
      <c r="OHT36"/>
      <c r="OHU36"/>
      <c r="OHV36"/>
      <c r="OHW36"/>
      <c r="OHX36"/>
      <c r="OHY36"/>
      <c r="OHZ36"/>
      <c r="OIA36"/>
      <c r="OIB36"/>
      <c r="OIC36"/>
      <c r="OID36"/>
      <c r="OIE36"/>
      <c r="OIF36"/>
      <c r="OIG36"/>
      <c r="OIH36"/>
      <c r="OII36"/>
      <c r="OIJ36"/>
      <c r="OIK36"/>
      <c r="OIL36"/>
      <c r="OIM36"/>
      <c r="OIN36"/>
      <c r="OIO36"/>
      <c r="OIP36"/>
      <c r="OIQ36"/>
      <c r="OIR36"/>
      <c r="OIS36"/>
      <c r="OIT36"/>
      <c r="OIU36"/>
      <c r="OIV36"/>
      <c r="OIW36"/>
      <c r="OIX36"/>
      <c r="OIY36"/>
      <c r="OIZ36"/>
      <c r="OJA36"/>
      <c r="OJB36"/>
      <c r="OJC36"/>
      <c r="OJD36"/>
      <c r="OJE36"/>
      <c r="OJF36"/>
      <c r="OJG36"/>
      <c r="OJH36"/>
      <c r="OJI36"/>
      <c r="OJJ36"/>
      <c r="OJK36"/>
      <c r="OJL36"/>
      <c r="OJM36"/>
      <c r="OJN36"/>
      <c r="OJO36"/>
      <c r="OJP36"/>
      <c r="OJQ36"/>
      <c r="OJR36"/>
      <c r="OJS36"/>
      <c r="OJT36"/>
      <c r="OJU36"/>
      <c r="OJV36"/>
      <c r="OJW36"/>
      <c r="OJX36"/>
      <c r="OJY36"/>
      <c r="OJZ36"/>
      <c r="OKA36"/>
      <c r="OKB36"/>
      <c r="OKC36"/>
      <c r="OKD36"/>
      <c r="OKE36"/>
      <c r="OKF36"/>
      <c r="OKG36"/>
      <c r="OKH36"/>
      <c r="OKI36"/>
      <c r="OKJ36"/>
      <c r="OKK36"/>
      <c r="OKL36"/>
      <c r="OKM36"/>
      <c r="OKN36"/>
      <c r="OKO36"/>
      <c r="OKP36"/>
      <c r="OKQ36"/>
      <c r="OKR36"/>
      <c r="OKS36"/>
      <c r="OKT36"/>
      <c r="OKU36"/>
      <c r="OKV36"/>
      <c r="OKW36"/>
      <c r="OKX36"/>
      <c r="OKY36"/>
      <c r="OKZ36"/>
      <c r="OLA36"/>
      <c r="OLB36"/>
      <c r="OLC36"/>
      <c r="OLD36"/>
      <c r="OLE36"/>
      <c r="OLF36"/>
      <c r="OLG36"/>
      <c r="OLH36"/>
      <c r="OLI36"/>
      <c r="OLJ36"/>
      <c r="OLK36"/>
      <c r="OLL36"/>
      <c r="OLM36"/>
      <c r="OLN36"/>
      <c r="OLO36"/>
      <c r="OLP36"/>
      <c r="OLQ36"/>
      <c r="OLR36"/>
      <c r="OLS36"/>
      <c r="OLT36"/>
      <c r="OLU36"/>
      <c r="OLV36"/>
      <c r="OLW36"/>
      <c r="OLX36"/>
      <c r="OLY36"/>
      <c r="OLZ36"/>
      <c r="OMA36"/>
      <c r="OMB36"/>
      <c r="OMC36"/>
      <c r="OMD36"/>
      <c r="OME36"/>
      <c r="OMF36"/>
      <c r="OMG36"/>
      <c r="OMH36"/>
      <c r="OMI36"/>
      <c r="OMJ36"/>
      <c r="OMK36"/>
      <c r="OML36"/>
      <c r="OMM36"/>
      <c r="OMN36"/>
      <c r="OMO36"/>
      <c r="OMP36"/>
      <c r="OMQ36"/>
      <c r="OMR36"/>
      <c r="OMS36"/>
      <c r="OMT36"/>
      <c r="OMU36"/>
      <c r="OMV36"/>
      <c r="OMW36"/>
      <c r="OMX36"/>
      <c r="OMY36"/>
      <c r="OMZ36"/>
      <c r="ONA36"/>
      <c r="ONB36"/>
      <c r="ONC36"/>
      <c r="OND36"/>
      <c r="ONE36"/>
      <c r="ONF36"/>
      <c r="ONG36"/>
      <c r="ONH36"/>
      <c r="ONI36"/>
      <c r="ONJ36"/>
      <c r="ONK36"/>
      <c r="ONL36"/>
      <c r="ONM36"/>
      <c r="ONN36"/>
      <c r="ONO36"/>
      <c r="ONP36"/>
      <c r="ONQ36"/>
      <c r="ONR36"/>
      <c r="ONS36"/>
      <c r="ONT36"/>
      <c r="ONU36"/>
      <c r="ONV36"/>
      <c r="ONW36"/>
      <c r="ONX36"/>
      <c r="ONY36"/>
      <c r="ONZ36"/>
      <c r="OOA36"/>
      <c r="OOB36"/>
      <c r="OOC36"/>
      <c r="OOD36"/>
      <c r="OOE36"/>
      <c r="OOF36"/>
      <c r="OOG36"/>
      <c r="OOH36"/>
      <c r="OOI36"/>
      <c r="OOJ36"/>
      <c r="OOK36"/>
      <c r="OOL36"/>
      <c r="OOM36"/>
      <c r="OON36"/>
      <c r="OOO36"/>
      <c r="OOP36"/>
      <c r="OOQ36"/>
      <c r="OOR36"/>
      <c r="OOS36"/>
      <c r="OOT36"/>
      <c r="OOU36"/>
      <c r="OOV36"/>
      <c r="OOW36"/>
      <c r="OOX36"/>
      <c r="OOY36"/>
      <c r="OOZ36"/>
      <c r="OPA36"/>
      <c r="OPB36"/>
      <c r="OPC36"/>
      <c r="OPD36"/>
      <c r="OPE36"/>
      <c r="OPF36"/>
      <c r="OPG36"/>
      <c r="OPH36"/>
      <c r="OPI36"/>
      <c r="OPJ36"/>
      <c r="OPK36"/>
      <c r="OPL36"/>
      <c r="OPM36"/>
      <c r="OPN36"/>
      <c r="OPO36"/>
      <c r="OPP36"/>
      <c r="OPQ36"/>
      <c r="OPR36"/>
      <c r="OPS36"/>
      <c r="OPT36"/>
      <c r="OPU36"/>
      <c r="OPV36"/>
      <c r="OPW36"/>
      <c r="OPX36"/>
      <c r="OPY36"/>
      <c r="OPZ36"/>
      <c r="OQA36"/>
      <c r="OQB36"/>
      <c r="OQC36"/>
      <c r="OQD36"/>
      <c r="OQE36"/>
      <c r="OQF36"/>
      <c r="OQG36"/>
      <c r="OQH36"/>
      <c r="OQI36"/>
      <c r="OQJ36"/>
      <c r="OQK36"/>
      <c r="OQL36"/>
      <c r="OQM36"/>
      <c r="OQN36"/>
      <c r="OQO36"/>
      <c r="OQP36"/>
      <c r="OQQ36"/>
      <c r="OQR36"/>
      <c r="OQS36"/>
      <c r="OQT36"/>
      <c r="OQU36"/>
      <c r="OQV36"/>
      <c r="OQW36"/>
      <c r="OQX36"/>
      <c r="OQY36"/>
      <c r="OQZ36"/>
      <c r="ORA36"/>
      <c r="ORB36"/>
      <c r="ORC36"/>
      <c r="ORD36"/>
      <c r="ORE36"/>
      <c r="ORF36"/>
      <c r="ORG36"/>
      <c r="ORH36"/>
      <c r="ORI36"/>
      <c r="ORJ36"/>
      <c r="ORK36"/>
      <c r="ORL36"/>
      <c r="ORM36"/>
      <c r="ORN36"/>
      <c r="ORO36"/>
      <c r="ORP36"/>
      <c r="ORQ36"/>
      <c r="ORR36"/>
      <c r="ORS36"/>
      <c r="ORT36"/>
      <c r="ORU36"/>
      <c r="ORV36"/>
      <c r="ORW36"/>
      <c r="ORX36"/>
      <c r="ORY36"/>
      <c r="ORZ36"/>
      <c r="OSA36"/>
      <c r="OSB36"/>
      <c r="OSC36"/>
      <c r="OSD36"/>
      <c r="OSE36"/>
      <c r="OSF36"/>
      <c r="OSG36"/>
      <c r="OSH36"/>
      <c r="OSI36"/>
      <c r="OSJ36"/>
      <c r="OSK36"/>
      <c r="OSL36"/>
      <c r="OSM36"/>
      <c r="OSN36"/>
      <c r="OSO36"/>
      <c r="OSP36"/>
      <c r="OSQ36"/>
      <c r="OSR36"/>
      <c r="OSS36"/>
      <c r="OST36"/>
      <c r="OSU36"/>
      <c r="OSV36"/>
      <c r="OSW36"/>
      <c r="OSX36"/>
      <c r="OSY36"/>
      <c r="OSZ36"/>
      <c r="OTA36"/>
      <c r="OTB36"/>
      <c r="OTC36"/>
      <c r="OTD36"/>
      <c r="OTE36"/>
      <c r="OTF36"/>
      <c r="OTG36"/>
      <c r="OTH36"/>
      <c r="OTI36"/>
      <c r="OTJ36"/>
      <c r="OTK36"/>
      <c r="OTL36"/>
      <c r="OTM36"/>
      <c r="OTN36"/>
      <c r="OTO36"/>
      <c r="OTP36"/>
      <c r="OTQ36"/>
      <c r="OTR36"/>
      <c r="OTS36"/>
      <c r="OTT36"/>
      <c r="OTU36"/>
      <c r="OTV36"/>
      <c r="OTW36"/>
      <c r="OTX36"/>
      <c r="OTY36"/>
      <c r="OTZ36"/>
      <c r="OUA36"/>
      <c r="OUB36"/>
      <c r="OUC36"/>
      <c r="OUD36"/>
      <c r="OUE36"/>
      <c r="OUF36"/>
      <c r="OUG36"/>
      <c r="OUH36"/>
      <c r="OUI36"/>
      <c r="OUJ36"/>
      <c r="OUK36"/>
      <c r="OUL36"/>
      <c r="OUM36"/>
      <c r="OUN36"/>
      <c r="OUO36"/>
      <c r="OUP36"/>
      <c r="OUQ36"/>
      <c r="OUR36"/>
      <c r="OUS36"/>
      <c r="OUT36"/>
      <c r="OUU36"/>
      <c r="OUV36"/>
      <c r="OUW36"/>
      <c r="OUX36"/>
      <c r="OUY36"/>
      <c r="OUZ36"/>
      <c r="OVA36"/>
      <c r="OVB36"/>
      <c r="OVC36"/>
      <c r="OVD36"/>
      <c r="OVE36"/>
      <c r="OVF36"/>
      <c r="OVG36"/>
      <c r="OVH36"/>
      <c r="OVI36"/>
      <c r="OVJ36"/>
      <c r="OVK36"/>
      <c r="OVL36"/>
      <c r="OVM36"/>
      <c r="OVN36"/>
      <c r="OVO36"/>
      <c r="OVP36"/>
      <c r="OVQ36"/>
      <c r="OVR36"/>
      <c r="OVS36"/>
      <c r="OVT36"/>
      <c r="OVU36"/>
      <c r="OVV36"/>
      <c r="OVW36"/>
      <c r="OVX36"/>
      <c r="OVY36"/>
      <c r="OVZ36"/>
      <c r="OWA36"/>
      <c r="OWB36"/>
      <c r="OWC36"/>
      <c r="OWD36"/>
      <c r="OWE36"/>
      <c r="OWF36"/>
      <c r="OWG36"/>
      <c r="OWH36"/>
      <c r="OWI36"/>
      <c r="OWJ36"/>
      <c r="OWK36"/>
      <c r="OWL36"/>
      <c r="OWM36"/>
      <c r="OWN36"/>
      <c r="OWO36"/>
      <c r="OWP36"/>
      <c r="OWQ36"/>
      <c r="OWR36"/>
      <c r="OWS36"/>
      <c r="OWT36"/>
      <c r="OWU36"/>
      <c r="OWV36"/>
      <c r="OWW36"/>
      <c r="OWX36"/>
      <c r="OWY36"/>
      <c r="OWZ36"/>
      <c r="OXA36"/>
      <c r="OXB36"/>
      <c r="OXC36"/>
      <c r="OXD36"/>
      <c r="OXE36"/>
      <c r="OXF36"/>
      <c r="OXG36"/>
      <c r="OXH36"/>
      <c r="OXI36"/>
      <c r="OXJ36"/>
      <c r="OXK36"/>
      <c r="OXL36"/>
      <c r="OXM36"/>
      <c r="OXN36"/>
      <c r="OXO36"/>
      <c r="OXP36"/>
      <c r="OXQ36"/>
      <c r="OXR36"/>
      <c r="OXS36"/>
      <c r="OXT36"/>
      <c r="OXU36"/>
      <c r="OXV36"/>
      <c r="OXW36"/>
      <c r="OXX36"/>
      <c r="OXY36"/>
      <c r="OXZ36"/>
      <c r="OYA36"/>
      <c r="OYB36"/>
      <c r="OYC36"/>
      <c r="OYD36"/>
      <c r="OYE36"/>
      <c r="OYF36"/>
      <c r="OYG36"/>
      <c r="OYH36"/>
      <c r="OYI36"/>
      <c r="OYJ36"/>
      <c r="OYK36"/>
      <c r="OYL36"/>
      <c r="OYM36"/>
      <c r="OYN36"/>
      <c r="OYO36"/>
      <c r="OYP36"/>
      <c r="OYQ36"/>
      <c r="OYR36"/>
      <c r="OYS36"/>
      <c r="OYT36"/>
      <c r="OYU36"/>
      <c r="OYV36"/>
      <c r="OYW36"/>
      <c r="OYX36"/>
      <c r="OYY36"/>
      <c r="OYZ36"/>
      <c r="OZA36"/>
      <c r="OZB36"/>
      <c r="OZC36"/>
      <c r="OZD36"/>
      <c r="OZE36"/>
      <c r="OZF36"/>
      <c r="OZG36"/>
      <c r="OZH36"/>
      <c r="OZI36"/>
      <c r="OZJ36"/>
      <c r="OZK36"/>
      <c r="OZL36"/>
      <c r="OZM36"/>
      <c r="OZN36"/>
      <c r="OZO36"/>
      <c r="OZP36"/>
      <c r="OZQ36"/>
      <c r="OZR36"/>
      <c r="OZS36"/>
      <c r="OZT36"/>
      <c r="OZU36"/>
      <c r="OZV36"/>
      <c r="OZW36"/>
      <c r="OZX36"/>
      <c r="OZY36"/>
      <c r="OZZ36"/>
      <c r="PAA36"/>
      <c r="PAB36"/>
      <c r="PAC36"/>
      <c r="PAD36"/>
      <c r="PAE36"/>
      <c r="PAF36"/>
      <c r="PAG36"/>
      <c r="PAH36"/>
      <c r="PAI36"/>
      <c r="PAJ36"/>
      <c r="PAK36"/>
      <c r="PAL36"/>
      <c r="PAM36"/>
      <c r="PAN36"/>
      <c r="PAO36"/>
      <c r="PAP36"/>
      <c r="PAQ36"/>
      <c r="PAR36"/>
      <c r="PAS36"/>
      <c r="PAT36"/>
      <c r="PAU36"/>
      <c r="PAV36"/>
      <c r="PAW36"/>
      <c r="PAX36"/>
      <c r="PAY36"/>
      <c r="PAZ36"/>
      <c r="PBA36"/>
      <c r="PBB36"/>
      <c r="PBC36"/>
      <c r="PBD36"/>
      <c r="PBE36"/>
      <c r="PBF36"/>
      <c r="PBG36"/>
      <c r="PBH36"/>
      <c r="PBI36"/>
      <c r="PBJ36"/>
      <c r="PBK36"/>
      <c r="PBL36"/>
      <c r="PBM36"/>
      <c r="PBN36"/>
      <c r="PBO36"/>
      <c r="PBP36"/>
      <c r="PBQ36"/>
      <c r="PBR36"/>
      <c r="PBS36"/>
      <c r="PBT36"/>
      <c r="PBU36"/>
      <c r="PBV36"/>
      <c r="PBW36"/>
      <c r="PBX36"/>
      <c r="PBY36"/>
      <c r="PBZ36"/>
      <c r="PCA36"/>
      <c r="PCB36"/>
      <c r="PCC36"/>
      <c r="PCD36"/>
      <c r="PCE36"/>
      <c r="PCF36"/>
      <c r="PCG36"/>
      <c r="PCH36"/>
      <c r="PCI36"/>
      <c r="PCJ36"/>
      <c r="PCK36"/>
      <c r="PCL36"/>
      <c r="PCM36"/>
      <c r="PCN36"/>
      <c r="PCO36"/>
      <c r="PCP36"/>
      <c r="PCQ36"/>
      <c r="PCR36"/>
      <c r="PCS36"/>
      <c r="PCT36"/>
      <c r="PCU36"/>
      <c r="PCV36"/>
      <c r="PCW36"/>
      <c r="PCX36"/>
      <c r="PCY36"/>
      <c r="PCZ36"/>
      <c r="PDA36"/>
      <c r="PDB36"/>
      <c r="PDC36"/>
      <c r="PDD36"/>
      <c r="PDE36"/>
      <c r="PDF36"/>
      <c r="PDG36"/>
      <c r="PDH36"/>
      <c r="PDI36"/>
      <c r="PDJ36"/>
      <c r="PDK36"/>
      <c r="PDL36"/>
      <c r="PDM36"/>
      <c r="PDN36"/>
      <c r="PDO36"/>
      <c r="PDP36"/>
      <c r="PDQ36"/>
      <c r="PDR36"/>
      <c r="PDS36"/>
      <c r="PDT36"/>
      <c r="PDU36"/>
      <c r="PDV36"/>
      <c r="PDW36"/>
      <c r="PDX36"/>
      <c r="PDY36"/>
      <c r="PDZ36"/>
      <c r="PEA36"/>
      <c r="PEB36"/>
      <c r="PEC36"/>
      <c r="PED36"/>
      <c r="PEE36"/>
      <c r="PEF36"/>
      <c r="PEG36"/>
      <c r="PEH36"/>
      <c r="PEI36"/>
      <c r="PEJ36"/>
      <c r="PEK36"/>
      <c r="PEL36"/>
      <c r="PEM36"/>
      <c r="PEN36"/>
      <c r="PEO36"/>
      <c r="PEP36"/>
      <c r="PEQ36"/>
      <c r="PER36"/>
      <c r="PES36"/>
      <c r="PET36"/>
      <c r="PEU36"/>
      <c r="PEV36"/>
      <c r="PEW36"/>
      <c r="PEX36"/>
      <c r="PEY36"/>
      <c r="PEZ36"/>
      <c r="PFA36"/>
      <c r="PFB36"/>
      <c r="PFC36"/>
      <c r="PFD36"/>
      <c r="PFE36"/>
      <c r="PFF36"/>
      <c r="PFG36"/>
      <c r="PFH36"/>
      <c r="PFI36"/>
      <c r="PFJ36"/>
      <c r="PFK36"/>
      <c r="PFL36"/>
      <c r="PFM36"/>
      <c r="PFN36"/>
      <c r="PFO36"/>
      <c r="PFP36"/>
      <c r="PFQ36"/>
      <c r="PFR36"/>
      <c r="PFS36"/>
      <c r="PFT36"/>
      <c r="PFU36"/>
      <c r="PFV36"/>
      <c r="PFW36"/>
      <c r="PFX36"/>
      <c r="PFY36"/>
      <c r="PFZ36"/>
      <c r="PGA36"/>
      <c r="PGB36"/>
      <c r="PGC36"/>
      <c r="PGD36"/>
      <c r="PGE36"/>
      <c r="PGF36"/>
      <c r="PGG36"/>
      <c r="PGH36"/>
      <c r="PGI36"/>
      <c r="PGJ36"/>
      <c r="PGK36"/>
      <c r="PGL36"/>
      <c r="PGM36"/>
      <c r="PGN36"/>
      <c r="PGO36"/>
      <c r="PGP36"/>
      <c r="PGQ36"/>
      <c r="PGR36"/>
      <c r="PGS36"/>
      <c r="PGT36"/>
      <c r="PGU36"/>
      <c r="PGV36"/>
      <c r="PGW36"/>
      <c r="PGX36"/>
      <c r="PGY36"/>
      <c r="PGZ36"/>
      <c r="PHA36"/>
      <c r="PHB36"/>
      <c r="PHC36"/>
      <c r="PHD36"/>
      <c r="PHE36"/>
      <c r="PHF36"/>
      <c r="PHG36"/>
      <c r="PHH36"/>
      <c r="PHI36"/>
      <c r="PHJ36"/>
      <c r="PHK36"/>
      <c r="PHL36"/>
      <c r="PHM36"/>
      <c r="PHN36"/>
      <c r="PHO36"/>
      <c r="PHP36"/>
      <c r="PHQ36"/>
      <c r="PHR36"/>
      <c r="PHS36"/>
      <c r="PHT36"/>
      <c r="PHU36"/>
      <c r="PHV36"/>
      <c r="PHW36"/>
      <c r="PHX36"/>
      <c r="PHY36"/>
      <c r="PHZ36"/>
      <c r="PIA36"/>
      <c r="PIB36"/>
      <c r="PIC36"/>
      <c r="PID36"/>
      <c r="PIE36"/>
      <c r="PIF36"/>
      <c r="PIG36"/>
      <c r="PIH36"/>
      <c r="PII36"/>
      <c r="PIJ36"/>
      <c r="PIK36"/>
      <c r="PIL36"/>
      <c r="PIM36"/>
      <c r="PIN36"/>
      <c r="PIO36"/>
      <c r="PIP36"/>
      <c r="PIQ36"/>
      <c r="PIR36"/>
      <c r="PIS36"/>
      <c r="PIT36"/>
      <c r="PIU36"/>
      <c r="PIV36"/>
      <c r="PIW36"/>
      <c r="PIX36"/>
      <c r="PIY36"/>
      <c r="PIZ36"/>
      <c r="PJA36"/>
      <c r="PJB36"/>
      <c r="PJC36"/>
      <c r="PJD36"/>
      <c r="PJE36"/>
      <c r="PJF36"/>
      <c r="PJG36"/>
      <c r="PJH36"/>
      <c r="PJI36"/>
      <c r="PJJ36"/>
      <c r="PJK36"/>
      <c r="PJL36"/>
      <c r="PJM36"/>
      <c r="PJN36"/>
      <c r="PJO36"/>
      <c r="PJP36"/>
      <c r="PJQ36"/>
      <c r="PJR36"/>
      <c r="PJS36"/>
      <c r="PJT36"/>
      <c r="PJU36"/>
      <c r="PJV36"/>
      <c r="PJW36"/>
      <c r="PJX36"/>
      <c r="PJY36"/>
      <c r="PJZ36"/>
      <c r="PKA36"/>
      <c r="PKB36"/>
      <c r="PKC36"/>
      <c r="PKD36"/>
      <c r="PKE36"/>
      <c r="PKF36"/>
      <c r="PKG36"/>
      <c r="PKH36"/>
      <c r="PKI36"/>
      <c r="PKJ36"/>
      <c r="PKK36"/>
      <c r="PKL36"/>
      <c r="PKM36"/>
      <c r="PKN36"/>
      <c r="PKO36"/>
      <c r="PKP36"/>
      <c r="PKQ36"/>
      <c r="PKR36"/>
      <c r="PKS36"/>
      <c r="PKT36"/>
      <c r="PKU36"/>
      <c r="PKV36"/>
      <c r="PKW36"/>
      <c r="PKX36"/>
      <c r="PKY36"/>
      <c r="PKZ36"/>
      <c r="PLA36"/>
      <c r="PLB36"/>
      <c r="PLC36"/>
      <c r="PLD36"/>
      <c r="PLE36"/>
      <c r="PLF36"/>
      <c r="PLG36"/>
      <c r="PLH36"/>
      <c r="PLI36"/>
      <c r="PLJ36"/>
      <c r="PLK36"/>
      <c r="PLL36"/>
      <c r="PLM36"/>
      <c r="PLN36"/>
      <c r="PLO36"/>
      <c r="PLP36"/>
      <c r="PLQ36"/>
      <c r="PLR36"/>
      <c r="PLS36"/>
      <c r="PLT36"/>
      <c r="PLU36"/>
      <c r="PLV36"/>
      <c r="PLW36"/>
      <c r="PLX36"/>
      <c r="PLY36"/>
      <c r="PLZ36"/>
      <c r="PMA36"/>
      <c r="PMB36"/>
      <c r="PMC36"/>
      <c r="PMD36"/>
      <c r="PME36"/>
      <c r="PMF36"/>
      <c r="PMG36"/>
      <c r="PMH36"/>
      <c r="PMI36"/>
      <c r="PMJ36"/>
      <c r="PMK36"/>
      <c r="PML36"/>
      <c r="PMM36"/>
      <c r="PMN36"/>
      <c r="PMO36"/>
      <c r="PMP36"/>
      <c r="PMQ36"/>
      <c r="PMR36"/>
      <c r="PMS36"/>
      <c r="PMT36"/>
      <c r="PMU36"/>
      <c r="PMV36"/>
      <c r="PMW36"/>
      <c r="PMX36"/>
      <c r="PMY36"/>
      <c r="PMZ36"/>
      <c r="PNA36"/>
      <c r="PNB36"/>
      <c r="PNC36"/>
      <c r="PND36"/>
      <c r="PNE36"/>
      <c r="PNF36"/>
      <c r="PNG36"/>
      <c r="PNH36"/>
      <c r="PNI36"/>
      <c r="PNJ36"/>
      <c r="PNK36"/>
      <c r="PNL36"/>
      <c r="PNM36"/>
      <c r="PNN36"/>
      <c r="PNO36"/>
      <c r="PNP36"/>
      <c r="PNQ36"/>
      <c r="PNR36"/>
      <c r="PNS36"/>
      <c r="PNT36"/>
      <c r="PNU36"/>
      <c r="PNV36"/>
      <c r="PNW36"/>
      <c r="PNX36"/>
      <c r="PNY36"/>
      <c r="PNZ36"/>
      <c r="POA36"/>
      <c r="POB36"/>
      <c r="POC36"/>
      <c r="POD36"/>
      <c r="POE36"/>
      <c r="POF36"/>
      <c r="POG36"/>
      <c r="POH36"/>
      <c r="POI36"/>
      <c r="POJ36"/>
      <c r="POK36"/>
      <c r="POL36"/>
      <c r="POM36"/>
      <c r="PON36"/>
      <c r="POO36"/>
      <c r="POP36"/>
      <c r="POQ36"/>
      <c r="POR36"/>
      <c r="POS36"/>
      <c r="POT36"/>
      <c r="POU36"/>
      <c r="POV36"/>
      <c r="POW36"/>
      <c r="POX36"/>
      <c r="POY36"/>
      <c r="POZ36"/>
      <c r="PPA36"/>
      <c r="PPB36"/>
      <c r="PPC36"/>
      <c r="PPD36"/>
      <c r="PPE36"/>
      <c r="PPF36"/>
      <c r="PPG36"/>
      <c r="PPH36"/>
      <c r="PPI36"/>
      <c r="PPJ36"/>
      <c r="PPK36"/>
      <c r="PPL36"/>
      <c r="PPM36"/>
      <c r="PPN36"/>
      <c r="PPO36"/>
      <c r="PPP36"/>
      <c r="PPQ36"/>
      <c r="PPR36"/>
      <c r="PPS36"/>
      <c r="PPT36"/>
      <c r="PPU36"/>
      <c r="PPV36"/>
      <c r="PPW36"/>
      <c r="PPX36"/>
      <c r="PPY36"/>
      <c r="PPZ36"/>
      <c r="PQA36"/>
      <c r="PQB36"/>
      <c r="PQC36"/>
      <c r="PQD36"/>
      <c r="PQE36"/>
      <c r="PQF36"/>
      <c r="PQG36"/>
      <c r="PQH36"/>
      <c r="PQI36"/>
      <c r="PQJ36"/>
      <c r="PQK36"/>
      <c r="PQL36"/>
      <c r="PQM36"/>
      <c r="PQN36"/>
      <c r="PQO36"/>
      <c r="PQP36"/>
      <c r="PQQ36"/>
      <c r="PQR36"/>
      <c r="PQS36"/>
      <c r="PQT36"/>
      <c r="PQU36"/>
      <c r="PQV36"/>
      <c r="PQW36"/>
      <c r="PQX36"/>
      <c r="PQY36"/>
      <c r="PQZ36"/>
      <c r="PRA36"/>
      <c r="PRB36"/>
      <c r="PRC36"/>
      <c r="PRD36"/>
      <c r="PRE36"/>
      <c r="PRF36"/>
      <c r="PRG36"/>
      <c r="PRH36"/>
      <c r="PRI36"/>
      <c r="PRJ36"/>
      <c r="PRK36"/>
      <c r="PRL36"/>
      <c r="PRM36"/>
      <c r="PRN36"/>
      <c r="PRO36"/>
      <c r="PRP36"/>
      <c r="PRQ36"/>
      <c r="PRR36"/>
      <c r="PRS36"/>
      <c r="PRT36"/>
      <c r="PRU36"/>
      <c r="PRV36"/>
      <c r="PRW36"/>
      <c r="PRX36"/>
      <c r="PRY36"/>
      <c r="PRZ36"/>
      <c r="PSA36"/>
      <c r="PSB36"/>
      <c r="PSC36"/>
      <c r="PSD36"/>
      <c r="PSE36"/>
      <c r="PSF36"/>
      <c r="PSG36"/>
      <c r="PSH36"/>
      <c r="PSI36"/>
      <c r="PSJ36"/>
      <c r="PSK36"/>
      <c r="PSL36"/>
      <c r="PSM36"/>
      <c r="PSN36"/>
      <c r="PSO36"/>
      <c r="PSP36"/>
      <c r="PSQ36"/>
      <c r="PSR36"/>
      <c r="PSS36"/>
      <c r="PST36"/>
      <c r="PSU36"/>
      <c r="PSV36"/>
      <c r="PSW36"/>
      <c r="PSX36"/>
      <c r="PSY36"/>
      <c r="PSZ36"/>
      <c r="PTA36"/>
      <c r="PTB36"/>
      <c r="PTC36"/>
      <c r="PTD36"/>
      <c r="PTE36"/>
      <c r="PTF36"/>
      <c r="PTG36"/>
      <c r="PTH36"/>
      <c r="PTI36"/>
      <c r="PTJ36"/>
      <c r="PTK36"/>
      <c r="PTL36"/>
      <c r="PTM36"/>
      <c r="PTN36"/>
      <c r="PTO36"/>
      <c r="PTP36"/>
      <c r="PTQ36"/>
      <c r="PTR36"/>
      <c r="PTS36"/>
      <c r="PTT36"/>
      <c r="PTU36"/>
      <c r="PTV36"/>
      <c r="PTW36"/>
      <c r="PTX36"/>
      <c r="PTY36"/>
      <c r="PTZ36"/>
      <c r="PUA36"/>
      <c r="PUB36"/>
      <c r="PUC36"/>
      <c r="PUD36"/>
      <c r="PUE36"/>
      <c r="PUF36"/>
      <c r="PUG36"/>
      <c r="PUH36"/>
      <c r="PUI36"/>
      <c r="PUJ36"/>
      <c r="PUK36"/>
      <c r="PUL36"/>
      <c r="PUM36"/>
      <c r="PUN36"/>
      <c r="PUO36"/>
      <c r="PUP36"/>
      <c r="PUQ36"/>
      <c r="PUR36"/>
      <c r="PUS36"/>
      <c r="PUT36"/>
      <c r="PUU36"/>
      <c r="PUV36"/>
      <c r="PUW36"/>
      <c r="PUX36"/>
      <c r="PUY36"/>
      <c r="PUZ36"/>
      <c r="PVA36"/>
      <c r="PVB36"/>
      <c r="PVC36"/>
      <c r="PVD36"/>
      <c r="PVE36"/>
      <c r="PVF36"/>
      <c r="PVG36"/>
      <c r="PVH36"/>
      <c r="PVI36"/>
      <c r="PVJ36"/>
      <c r="PVK36"/>
      <c r="PVL36"/>
      <c r="PVM36"/>
      <c r="PVN36"/>
      <c r="PVO36"/>
      <c r="PVP36"/>
      <c r="PVQ36"/>
      <c r="PVR36"/>
      <c r="PVS36"/>
      <c r="PVT36"/>
      <c r="PVU36"/>
      <c r="PVV36"/>
      <c r="PVW36"/>
      <c r="PVX36"/>
      <c r="PVY36"/>
      <c r="PVZ36"/>
      <c r="PWA36"/>
      <c r="PWB36"/>
      <c r="PWC36"/>
      <c r="PWD36"/>
      <c r="PWE36"/>
      <c r="PWF36"/>
      <c r="PWG36"/>
      <c r="PWH36"/>
      <c r="PWI36"/>
      <c r="PWJ36"/>
      <c r="PWK36"/>
      <c r="PWL36"/>
      <c r="PWM36"/>
      <c r="PWN36"/>
      <c r="PWO36"/>
      <c r="PWP36"/>
      <c r="PWQ36"/>
      <c r="PWR36"/>
      <c r="PWS36"/>
      <c r="PWT36"/>
      <c r="PWU36"/>
      <c r="PWV36"/>
      <c r="PWW36"/>
      <c r="PWX36"/>
      <c r="PWY36"/>
      <c r="PWZ36"/>
      <c r="PXA36"/>
      <c r="PXB36"/>
      <c r="PXC36"/>
      <c r="PXD36"/>
      <c r="PXE36"/>
      <c r="PXF36"/>
      <c r="PXG36"/>
      <c r="PXH36"/>
      <c r="PXI36"/>
      <c r="PXJ36"/>
      <c r="PXK36"/>
      <c r="PXL36"/>
      <c r="PXM36"/>
      <c r="PXN36"/>
      <c r="PXO36"/>
      <c r="PXP36"/>
      <c r="PXQ36"/>
      <c r="PXR36"/>
      <c r="PXS36"/>
      <c r="PXT36"/>
      <c r="PXU36"/>
      <c r="PXV36"/>
      <c r="PXW36"/>
      <c r="PXX36"/>
      <c r="PXY36"/>
      <c r="PXZ36"/>
      <c r="PYA36"/>
      <c r="PYB36"/>
      <c r="PYC36"/>
      <c r="PYD36"/>
      <c r="PYE36"/>
      <c r="PYF36"/>
      <c r="PYG36"/>
      <c r="PYH36"/>
      <c r="PYI36"/>
      <c r="PYJ36"/>
      <c r="PYK36"/>
      <c r="PYL36"/>
      <c r="PYM36"/>
      <c r="PYN36"/>
      <c r="PYO36"/>
      <c r="PYP36"/>
      <c r="PYQ36"/>
      <c r="PYR36"/>
      <c r="PYS36"/>
      <c r="PYT36"/>
      <c r="PYU36"/>
      <c r="PYV36"/>
      <c r="PYW36"/>
      <c r="PYX36"/>
      <c r="PYY36"/>
      <c r="PYZ36"/>
      <c r="PZA36"/>
      <c r="PZB36"/>
      <c r="PZC36"/>
      <c r="PZD36"/>
      <c r="PZE36"/>
      <c r="PZF36"/>
      <c r="PZG36"/>
      <c r="PZH36"/>
      <c r="PZI36"/>
      <c r="PZJ36"/>
      <c r="PZK36"/>
      <c r="PZL36"/>
      <c r="PZM36"/>
      <c r="PZN36"/>
      <c r="PZO36"/>
      <c r="PZP36"/>
      <c r="PZQ36"/>
      <c r="PZR36"/>
      <c r="PZS36"/>
      <c r="PZT36"/>
      <c r="PZU36"/>
      <c r="PZV36"/>
      <c r="PZW36"/>
      <c r="PZX36"/>
      <c r="PZY36"/>
      <c r="PZZ36"/>
      <c r="QAA36"/>
      <c r="QAB36"/>
      <c r="QAC36"/>
      <c r="QAD36"/>
      <c r="QAE36"/>
      <c r="QAF36"/>
      <c r="QAG36"/>
      <c r="QAH36"/>
      <c r="QAI36"/>
      <c r="QAJ36"/>
      <c r="QAK36"/>
      <c r="QAL36"/>
      <c r="QAM36"/>
      <c r="QAN36"/>
      <c r="QAO36"/>
      <c r="QAP36"/>
      <c r="QAQ36"/>
      <c r="QAR36"/>
      <c r="QAS36"/>
      <c r="QAT36"/>
      <c r="QAU36"/>
      <c r="QAV36"/>
      <c r="QAW36"/>
      <c r="QAX36"/>
      <c r="QAY36"/>
      <c r="QAZ36"/>
      <c r="QBA36"/>
      <c r="QBB36"/>
      <c r="QBC36"/>
      <c r="QBD36"/>
      <c r="QBE36"/>
      <c r="QBF36"/>
      <c r="QBG36"/>
      <c r="QBH36"/>
      <c r="QBI36"/>
      <c r="QBJ36"/>
      <c r="QBK36"/>
      <c r="QBL36"/>
      <c r="QBM36"/>
      <c r="QBN36"/>
      <c r="QBO36"/>
      <c r="QBP36"/>
      <c r="QBQ36"/>
      <c r="QBR36"/>
      <c r="QBS36"/>
      <c r="QBT36"/>
      <c r="QBU36"/>
      <c r="QBV36"/>
      <c r="QBW36"/>
      <c r="QBX36"/>
      <c r="QBY36"/>
      <c r="QBZ36"/>
      <c r="QCA36"/>
      <c r="QCB36"/>
      <c r="QCC36"/>
      <c r="QCD36"/>
      <c r="QCE36"/>
      <c r="QCF36"/>
      <c r="QCG36"/>
      <c r="QCH36"/>
      <c r="QCI36"/>
      <c r="QCJ36"/>
      <c r="QCK36"/>
      <c r="QCL36"/>
      <c r="QCM36"/>
      <c r="QCN36"/>
      <c r="QCO36"/>
      <c r="QCP36"/>
      <c r="QCQ36"/>
      <c r="QCR36"/>
      <c r="QCS36"/>
      <c r="QCT36"/>
      <c r="QCU36"/>
      <c r="QCV36"/>
      <c r="QCW36"/>
      <c r="QCX36"/>
      <c r="QCY36"/>
      <c r="QCZ36"/>
      <c r="QDA36"/>
      <c r="QDB36"/>
      <c r="QDC36"/>
      <c r="QDD36"/>
      <c r="QDE36"/>
      <c r="QDF36"/>
      <c r="QDG36"/>
      <c r="QDH36"/>
      <c r="QDI36"/>
      <c r="QDJ36"/>
      <c r="QDK36"/>
      <c r="QDL36"/>
      <c r="QDM36"/>
      <c r="QDN36"/>
      <c r="QDO36"/>
      <c r="QDP36"/>
      <c r="QDQ36"/>
      <c r="QDR36"/>
      <c r="QDS36"/>
      <c r="QDT36"/>
      <c r="QDU36"/>
      <c r="QDV36"/>
      <c r="QDW36"/>
      <c r="QDX36"/>
      <c r="QDY36"/>
      <c r="QDZ36"/>
      <c r="QEA36"/>
      <c r="QEB36"/>
      <c r="QEC36"/>
      <c r="QED36"/>
      <c r="QEE36"/>
      <c r="QEF36"/>
      <c r="QEG36"/>
      <c r="QEH36"/>
      <c r="QEI36"/>
      <c r="QEJ36"/>
      <c r="QEK36"/>
      <c r="QEL36"/>
      <c r="QEM36"/>
      <c r="QEN36"/>
      <c r="QEO36"/>
      <c r="QEP36"/>
      <c r="QEQ36"/>
      <c r="QER36"/>
      <c r="QES36"/>
      <c r="QET36"/>
      <c r="QEU36"/>
      <c r="QEV36"/>
      <c r="QEW36"/>
      <c r="QEX36"/>
      <c r="QEY36"/>
      <c r="QEZ36"/>
      <c r="QFA36"/>
      <c r="QFB36"/>
      <c r="QFC36"/>
      <c r="QFD36"/>
      <c r="QFE36"/>
      <c r="QFF36"/>
      <c r="QFG36"/>
      <c r="QFH36"/>
      <c r="QFI36"/>
      <c r="QFJ36"/>
      <c r="QFK36"/>
      <c r="QFL36"/>
      <c r="QFM36"/>
      <c r="QFN36"/>
      <c r="QFO36"/>
      <c r="QFP36"/>
      <c r="QFQ36"/>
      <c r="QFR36"/>
      <c r="QFS36"/>
      <c r="QFT36"/>
      <c r="QFU36"/>
      <c r="QFV36"/>
      <c r="QFW36"/>
      <c r="QFX36"/>
      <c r="QFY36"/>
      <c r="QFZ36"/>
      <c r="QGA36"/>
      <c r="QGB36"/>
      <c r="QGC36"/>
      <c r="QGD36"/>
      <c r="QGE36"/>
      <c r="QGF36"/>
      <c r="QGG36"/>
      <c r="QGH36"/>
      <c r="QGI36"/>
      <c r="QGJ36"/>
      <c r="QGK36"/>
      <c r="QGL36"/>
      <c r="QGM36"/>
      <c r="QGN36"/>
      <c r="QGO36"/>
      <c r="QGP36"/>
      <c r="QGQ36"/>
      <c r="QGR36"/>
      <c r="QGS36"/>
      <c r="QGT36"/>
      <c r="QGU36"/>
      <c r="QGV36"/>
      <c r="QGW36"/>
      <c r="QGX36"/>
      <c r="QGY36"/>
      <c r="QGZ36"/>
      <c r="QHA36"/>
      <c r="QHB36"/>
      <c r="QHC36"/>
      <c r="QHD36"/>
      <c r="QHE36"/>
      <c r="QHF36"/>
      <c r="QHG36"/>
      <c r="QHH36"/>
      <c r="QHI36"/>
      <c r="QHJ36"/>
      <c r="QHK36"/>
      <c r="QHL36"/>
      <c r="QHM36"/>
      <c r="QHN36"/>
      <c r="QHO36"/>
      <c r="QHP36"/>
      <c r="QHQ36"/>
      <c r="QHR36"/>
      <c r="QHS36"/>
      <c r="QHT36"/>
      <c r="QHU36"/>
      <c r="QHV36"/>
      <c r="QHW36"/>
      <c r="QHX36"/>
      <c r="QHY36"/>
      <c r="QHZ36"/>
      <c r="QIA36"/>
      <c r="QIB36"/>
      <c r="QIC36"/>
      <c r="QID36"/>
      <c r="QIE36"/>
      <c r="QIF36"/>
      <c r="QIG36"/>
      <c r="QIH36"/>
      <c r="QII36"/>
      <c r="QIJ36"/>
      <c r="QIK36"/>
      <c r="QIL36"/>
      <c r="QIM36"/>
      <c r="QIN36"/>
      <c r="QIO36"/>
      <c r="QIP36"/>
      <c r="QIQ36"/>
      <c r="QIR36"/>
      <c r="QIS36"/>
      <c r="QIT36"/>
      <c r="QIU36"/>
      <c r="QIV36"/>
      <c r="QIW36"/>
      <c r="QIX36"/>
      <c r="QIY36"/>
      <c r="QIZ36"/>
      <c r="QJA36"/>
      <c r="QJB36"/>
      <c r="QJC36"/>
      <c r="QJD36"/>
      <c r="QJE36"/>
      <c r="QJF36"/>
      <c r="QJG36"/>
      <c r="QJH36"/>
      <c r="QJI36"/>
      <c r="QJJ36"/>
      <c r="QJK36"/>
      <c r="QJL36"/>
      <c r="QJM36"/>
      <c r="QJN36"/>
      <c r="QJO36"/>
      <c r="QJP36"/>
      <c r="QJQ36"/>
      <c r="QJR36"/>
      <c r="QJS36"/>
      <c r="QJT36"/>
      <c r="QJU36"/>
      <c r="QJV36"/>
      <c r="QJW36"/>
      <c r="QJX36"/>
      <c r="QJY36"/>
      <c r="QJZ36"/>
      <c r="QKA36"/>
      <c r="QKB36"/>
      <c r="QKC36"/>
      <c r="QKD36"/>
      <c r="QKE36"/>
      <c r="QKF36"/>
      <c r="QKG36"/>
      <c r="QKH36"/>
      <c r="QKI36"/>
      <c r="QKJ36"/>
      <c r="QKK36"/>
      <c r="QKL36"/>
      <c r="QKM36"/>
      <c r="QKN36"/>
      <c r="QKO36"/>
      <c r="QKP36"/>
      <c r="QKQ36"/>
      <c r="QKR36"/>
      <c r="QKS36"/>
      <c r="QKT36"/>
      <c r="QKU36"/>
      <c r="QKV36"/>
      <c r="QKW36"/>
      <c r="QKX36"/>
      <c r="QKY36"/>
      <c r="QKZ36"/>
      <c r="QLA36"/>
      <c r="QLB36"/>
      <c r="QLC36"/>
      <c r="QLD36"/>
      <c r="QLE36"/>
      <c r="QLF36"/>
      <c r="QLG36"/>
      <c r="QLH36"/>
      <c r="QLI36"/>
      <c r="QLJ36"/>
      <c r="QLK36"/>
      <c r="QLL36"/>
      <c r="QLM36"/>
      <c r="QLN36"/>
      <c r="QLO36"/>
      <c r="QLP36"/>
      <c r="QLQ36"/>
      <c r="QLR36"/>
      <c r="QLS36"/>
      <c r="QLT36"/>
      <c r="QLU36"/>
      <c r="QLV36"/>
      <c r="QLW36"/>
      <c r="QLX36"/>
      <c r="QLY36"/>
      <c r="QLZ36"/>
      <c r="QMA36"/>
      <c r="QMB36"/>
      <c r="QMC36"/>
      <c r="QMD36"/>
      <c r="QME36"/>
      <c r="QMF36"/>
      <c r="QMG36"/>
      <c r="QMH36"/>
      <c r="QMI36"/>
      <c r="QMJ36"/>
      <c r="QMK36"/>
      <c r="QML36"/>
      <c r="QMM36"/>
      <c r="QMN36"/>
      <c r="QMO36"/>
      <c r="QMP36"/>
      <c r="QMQ36"/>
      <c r="QMR36"/>
      <c r="QMS36"/>
      <c r="QMT36"/>
      <c r="QMU36"/>
      <c r="QMV36"/>
      <c r="QMW36"/>
      <c r="QMX36"/>
      <c r="QMY36"/>
      <c r="QMZ36"/>
      <c r="QNA36"/>
      <c r="QNB36"/>
      <c r="QNC36"/>
      <c r="QND36"/>
      <c r="QNE36"/>
      <c r="QNF36"/>
      <c r="QNG36"/>
      <c r="QNH36"/>
      <c r="QNI36"/>
      <c r="QNJ36"/>
      <c r="QNK36"/>
      <c r="QNL36"/>
      <c r="QNM36"/>
      <c r="QNN36"/>
      <c r="QNO36"/>
      <c r="QNP36"/>
      <c r="QNQ36"/>
      <c r="QNR36"/>
      <c r="QNS36"/>
      <c r="QNT36"/>
      <c r="QNU36"/>
      <c r="QNV36"/>
      <c r="QNW36"/>
      <c r="QNX36"/>
      <c r="QNY36"/>
      <c r="QNZ36"/>
      <c r="QOA36"/>
      <c r="QOB36"/>
      <c r="QOC36"/>
      <c r="QOD36"/>
      <c r="QOE36"/>
      <c r="QOF36"/>
      <c r="QOG36"/>
      <c r="QOH36"/>
      <c r="QOI36"/>
      <c r="QOJ36"/>
      <c r="QOK36"/>
      <c r="QOL36"/>
      <c r="QOM36"/>
      <c r="QON36"/>
      <c r="QOO36"/>
      <c r="QOP36"/>
      <c r="QOQ36"/>
      <c r="QOR36"/>
      <c r="QOS36"/>
      <c r="QOT36"/>
      <c r="QOU36"/>
      <c r="QOV36"/>
      <c r="QOW36"/>
      <c r="QOX36"/>
      <c r="QOY36"/>
      <c r="QOZ36"/>
      <c r="QPA36"/>
      <c r="QPB36"/>
      <c r="QPC36"/>
      <c r="QPD36"/>
      <c r="QPE36"/>
      <c r="QPF36"/>
      <c r="QPG36"/>
      <c r="QPH36"/>
      <c r="QPI36"/>
      <c r="QPJ36"/>
      <c r="QPK36"/>
      <c r="QPL36"/>
      <c r="QPM36"/>
      <c r="QPN36"/>
      <c r="QPO36"/>
      <c r="QPP36"/>
      <c r="QPQ36"/>
      <c r="QPR36"/>
      <c r="QPS36"/>
      <c r="QPT36"/>
      <c r="QPU36"/>
      <c r="QPV36"/>
      <c r="QPW36"/>
      <c r="QPX36"/>
      <c r="QPY36"/>
      <c r="QPZ36"/>
      <c r="QQA36"/>
      <c r="QQB36"/>
      <c r="QQC36"/>
      <c r="QQD36"/>
      <c r="QQE36"/>
      <c r="QQF36"/>
      <c r="QQG36"/>
      <c r="QQH36"/>
      <c r="QQI36"/>
      <c r="QQJ36"/>
      <c r="QQK36"/>
      <c r="QQL36"/>
      <c r="QQM36"/>
      <c r="QQN36"/>
      <c r="QQO36"/>
      <c r="QQP36"/>
      <c r="QQQ36"/>
      <c r="QQR36"/>
      <c r="QQS36"/>
      <c r="QQT36"/>
      <c r="QQU36"/>
      <c r="QQV36"/>
      <c r="QQW36"/>
      <c r="QQX36"/>
      <c r="QQY36"/>
      <c r="QQZ36"/>
      <c r="QRA36"/>
      <c r="QRB36"/>
      <c r="QRC36"/>
      <c r="QRD36"/>
      <c r="QRE36"/>
      <c r="QRF36"/>
      <c r="QRG36"/>
      <c r="QRH36"/>
      <c r="QRI36"/>
      <c r="QRJ36"/>
      <c r="QRK36"/>
      <c r="QRL36"/>
      <c r="QRM36"/>
      <c r="QRN36"/>
      <c r="QRO36"/>
      <c r="QRP36"/>
      <c r="QRQ36"/>
      <c r="QRR36"/>
      <c r="QRS36"/>
      <c r="QRT36"/>
      <c r="QRU36"/>
      <c r="QRV36"/>
      <c r="QRW36"/>
      <c r="QRX36"/>
      <c r="QRY36"/>
      <c r="QRZ36"/>
      <c r="QSA36"/>
      <c r="QSB36"/>
      <c r="QSC36"/>
      <c r="QSD36"/>
      <c r="QSE36"/>
      <c r="QSF36"/>
      <c r="QSG36"/>
      <c r="QSH36"/>
      <c r="QSI36"/>
      <c r="QSJ36"/>
      <c r="QSK36"/>
      <c r="QSL36"/>
      <c r="QSM36"/>
      <c r="QSN36"/>
      <c r="QSO36"/>
      <c r="QSP36"/>
      <c r="QSQ36"/>
      <c r="QSR36"/>
      <c r="QSS36"/>
      <c r="QST36"/>
      <c r="QSU36"/>
      <c r="QSV36"/>
      <c r="QSW36"/>
      <c r="QSX36"/>
      <c r="QSY36"/>
      <c r="QSZ36"/>
      <c r="QTA36"/>
      <c r="QTB36"/>
      <c r="QTC36"/>
      <c r="QTD36"/>
      <c r="QTE36"/>
      <c r="QTF36"/>
      <c r="QTG36"/>
      <c r="QTH36"/>
      <c r="QTI36"/>
      <c r="QTJ36"/>
      <c r="QTK36"/>
      <c r="QTL36"/>
      <c r="QTM36"/>
      <c r="QTN36"/>
      <c r="QTO36"/>
      <c r="QTP36"/>
      <c r="QTQ36"/>
      <c r="QTR36"/>
      <c r="QTS36"/>
      <c r="QTT36"/>
      <c r="QTU36"/>
      <c r="QTV36"/>
      <c r="QTW36"/>
      <c r="QTX36"/>
      <c r="QTY36"/>
      <c r="QTZ36"/>
      <c r="QUA36"/>
      <c r="QUB36"/>
      <c r="QUC36"/>
      <c r="QUD36"/>
      <c r="QUE36"/>
      <c r="QUF36"/>
      <c r="QUG36"/>
      <c r="QUH36"/>
      <c r="QUI36"/>
      <c r="QUJ36"/>
      <c r="QUK36"/>
      <c r="QUL36"/>
      <c r="QUM36"/>
      <c r="QUN36"/>
      <c r="QUO36"/>
      <c r="QUP36"/>
      <c r="QUQ36"/>
      <c r="QUR36"/>
      <c r="QUS36"/>
      <c r="QUT36"/>
      <c r="QUU36"/>
      <c r="QUV36"/>
      <c r="QUW36"/>
      <c r="QUX36"/>
      <c r="QUY36"/>
      <c r="QUZ36"/>
      <c r="QVA36"/>
      <c r="QVB36"/>
      <c r="QVC36"/>
      <c r="QVD36"/>
      <c r="QVE36"/>
      <c r="QVF36"/>
      <c r="QVG36"/>
      <c r="QVH36"/>
      <c r="QVI36"/>
      <c r="QVJ36"/>
      <c r="QVK36"/>
      <c r="QVL36"/>
      <c r="QVM36"/>
      <c r="QVN36"/>
      <c r="QVO36"/>
      <c r="QVP36"/>
      <c r="QVQ36"/>
      <c r="QVR36"/>
      <c r="QVS36"/>
      <c r="QVT36"/>
      <c r="QVU36"/>
      <c r="QVV36"/>
      <c r="QVW36"/>
      <c r="QVX36"/>
      <c r="QVY36"/>
      <c r="QVZ36"/>
      <c r="QWA36"/>
      <c r="QWB36"/>
      <c r="QWC36"/>
      <c r="QWD36"/>
      <c r="QWE36"/>
      <c r="QWF36"/>
      <c r="QWG36"/>
      <c r="QWH36"/>
      <c r="QWI36"/>
      <c r="QWJ36"/>
      <c r="QWK36"/>
      <c r="QWL36"/>
      <c r="QWM36"/>
      <c r="QWN36"/>
      <c r="QWO36"/>
      <c r="QWP36"/>
      <c r="QWQ36"/>
      <c r="QWR36"/>
      <c r="QWS36"/>
      <c r="QWT36"/>
      <c r="QWU36"/>
      <c r="QWV36"/>
      <c r="QWW36"/>
      <c r="QWX36"/>
      <c r="QWY36"/>
      <c r="QWZ36"/>
      <c r="QXA36"/>
      <c r="QXB36"/>
      <c r="QXC36"/>
      <c r="QXD36"/>
      <c r="QXE36"/>
      <c r="QXF36"/>
      <c r="QXG36"/>
      <c r="QXH36"/>
      <c r="QXI36"/>
      <c r="QXJ36"/>
      <c r="QXK36"/>
      <c r="QXL36"/>
      <c r="QXM36"/>
      <c r="QXN36"/>
      <c r="QXO36"/>
      <c r="QXP36"/>
      <c r="QXQ36"/>
      <c r="QXR36"/>
      <c r="QXS36"/>
      <c r="QXT36"/>
      <c r="QXU36"/>
      <c r="QXV36"/>
      <c r="QXW36"/>
      <c r="QXX36"/>
      <c r="QXY36"/>
      <c r="QXZ36"/>
      <c r="QYA36"/>
      <c r="QYB36"/>
      <c r="QYC36"/>
      <c r="QYD36"/>
      <c r="QYE36"/>
      <c r="QYF36"/>
      <c r="QYG36"/>
      <c r="QYH36"/>
      <c r="QYI36"/>
      <c r="QYJ36"/>
      <c r="QYK36"/>
      <c r="QYL36"/>
      <c r="QYM36"/>
      <c r="QYN36"/>
      <c r="QYO36"/>
      <c r="QYP36"/>
      <c r="QYQ36"/>
      <c r="QYR36"/>
      <c r="QYS36"/>
      <c r="QYT36"/>
      <c r="QYU36"/>
      <c r="QYV36"/>
      <c r="QYW36"/>
      <c r="QYX36"/>
      <c r="QYY36"/>
      <c r="QYZ36"/>
      <c r="QZA36"/>
      <c r="QZB36"/>
      <c r="QZC36"/>
      <c r="QZD36"/>
      <c r="QZE36"/>
      <c r="QZF36"/>
      <c r="QZG36"/>
      <c r="QZH36"/>
      <c r="QZI36"/>
      <c r="QZJ36"/>
      <c r="QZK36"/>
      <c r="QZL36"/>
      <c r="QZM36"/>
      <c r="QZN36"/>
      <c r="QZO36"/>
      <c r="QZP36"/>
      <c r="QZQ36"/>
      <c r="QZR36"/>
      <c r="QZS36"/>
      <c r="QZT36"/>
      <c r="QZU36"/>
      <c r="QZV36"/>
      <c r="QZW36"/>
      <c r="QZX36"/>
      <c r="QZY36"/>
      <c r="QZZ36"/>
      <c r="RAA36"/>
      <c r="RAB36"/>
      <c r="RAC36"/>
      <c r="RAD36"/>
      <c r="RAE36"/>
      <c r="RAF36"/>
      <c r="RAG36"/>
      <c r="RAH36"/>
      <c r="RAI36"/>
      <c r="RAJ36"/>
      <c r="RAK36"/>
      <c r="RAL36"/>
      <c r="RAM36"/>
      <c r="RAN36"/>
      <c r="RAO36"/>
      <c r="RAP36"/>
      <c r="RAQ36"/>
      <c r="RAR36"/>
      <c r="RAS36"/>
      <c r="RAT36"/>
      <c r="RAU36"/>
      <c r="RAV36"/>
      <c r="RAW36"/>
      <c r="RAX36"/>
      <c r="RAY36"/>
      <c r="RAZ36"/>
      <c r="RBA36"/>
      <c r="RBB36"/>
      <c r="RBC36"/>
      <c r="RBD36"/>
      <c r="RBE36"/>
      <c r="RBF36"/>
      <c r="RBG36"/>
      <c r="RBH36"/>
      <c r="RBI36"/>
      <c r="RBJ36"/>
      <c r="RBK36"/>
      <c r="RBL36"/>
      <c r="RBM36"/>
      <c r="RBN36"/>
      <c r="RBO36"/>
      <c r="RBP36"/>
      <c r="RBQ36"/>
      <c r="RBR36"/>
      <c r="RBS36"/>
      <c r="RBT36"/>
      <c r="RBU36"/>
      <c r="RBV36"/>
      <c r="RBW36"/>
      <c r="RBX36"/>
      <c r="RBY36"/>
      <c r="RBZ36"/>
      <c r="RCA36"/>
      <c r="RCB36"/>
      <c r="RCC36"/>
      <c r="RCD36"/>
      <c r="RCE36"/>
      <c r="RCF36"/>
      <c r="RCG36"/>
      <c r="RCH36"/>
      <c r="RCI36"/>
      <c r="RCJ36"/>
      <c r="RCK36"/>
      <c r="RCL36"/>
      <c r="RCM36"/>
      <c r="RCN36"/>
      <c r="RCO36"/>
      <c r="RCP36"/>
      <c r="RCQ36"/>
      <c r="RCR36"/>
      <c r="RCS36"/>
      <c r="RCT36"/>
      <c r="RCU36"/>
      <c r="RCV36"/>
      <c r="RCW36"/>
      <c r="RCX36"/>
      <c r="RCY36"/>
      <c r="RCZ36"/>
      <c r="RDA36"/>
      <c r="RDB36"/>
      <c r="RDC36"/>
      <c r="RDD36"/>
      <c r="RDE36"/>
      <c r="RDF36"/>
      <c r="RDG36"/>
      <c r="RDH36"/>
      <c r="RDI36"/>
      <c r="RDJ36"/>
      <c r="RDK36"/>
      <c r="RDL36"/>
      <c r="RDM36"/>
      <c r="RDN36"/>
      <c r="RDO36"/>
      <c r="RDP36"/>
      <c r="RDQ36"/>
      <c r="RDR36"/>
      <c r="RDS36"/>
      <c r="RDT36"/>
      <c r="RDU36"/>
      <c r="RDV36"/>
      <c r="RDW36"/>
      <c r="RDX36"/>
      <c r="RDY36"/>
      <c r="RDZ36"/>
      <c r="REA36"/>
      <c r="REB36"/>
      <c r="REC36"/>
      <c r="RED36"/>
      <c r="REE36"/>
      <c r="REF36"/>
      <c r="REG36"/>
      <c r="REH36"/>
      <c r="REI36"/>
      <c r="REJ36"/>
      <c r="REK36"/>
      <c r="REL36"/>
      <c r="REM36"/>
      <c r="REN36"/>
      <c r="REO36"/>
      <c r="REP36"/>
      <c r="REQ36"/>
      <c r="RER36"/>
      <c r="RES36"/>
      <c r="RET36"/>
      <c r="REU36"/>
      <c r="REV36"/>
      <c r="REW36"/>
      <c r="REX36"/>
      <c r="REY36"/>
      <c r="REZ36"/>
      <c r="RFA36"/>
      <c r="RFB36"/>
      <c r="RFC36"/>
      <c r="RFD36"/>
      <c r="RFE36"/>
      <c r="RFF36"/>
      <c r="RFG36"/>
      <c r="RFH36"/>
      <c r="RFI36"/>
      <c r="RFJ36"/>
      <c r="RFK36"/>
      <c r="RFL36"/>
      <c r="RFM36"/>
      <c r="RFN36"/>
      <c r="RFO36"/>
      <c r="RFP36"/>
      <c r="RFQ36"/>
      <c r="RFR36"/>
      <c r="RFS36"/>
      <c r="RFT36"/>
      <c r="RFU36"/>
      <c r="RFV36"/>
      <c r="RFW36"/>
      <c r="RFX36"/>
      <c r="RFY36"/>
      <c r="RFZ36"/>
      <c r="RGA36"/>
      <c r="RGB36"/>
      <c r="RGC36"/>
      <c r="RGD36"/>
      <c r="RGE36"/>
      <c r="RGF36"/>
      <c r="RGG36"/>
      <c r="RGH36"/>
      <c r="RGI36"/>
      <c r="RGJ36"/>
      <c r="RGK36"/>
      <c r="RGL36"/>
      <c r="RGM36"/>
      <c r="RGN36"/>
      <c r="RGO36"/>
      <c r="RGP36"/>
      <c r="RGQ36"/>
      <c r="RGR36"/>
      <c r="RGS36"/>
      <c r="RGT36"/>
      <c r="RGU36"/>
      <c r="RGV36"/>
      <c r="RGW36"/>
      <c r="RGX36"/>
      <c r="RGY36"/>
      <c r="RGZ36"/>
      <c r="RHA36"/>
      <c r="RHB36"/>
      <c r="RHC36"/>
      <c r="RHD36"/>
      <c r="RHE36"/>
      <c r="RHF36"/>
      <c r="RHG36"/>
      <c r="RHH36"/>
      <c r="RHI36"/>
      <c r="RHJ36"/>
      <c r="RHK36"/>
      <c r="RHL36"/>
      <c r="RHM36"/>
      <c r="RHN36"/>
      <c r="RHO36"/>
      <c r="RHP36"/>
      <c r="RHQ36"/>
      <c r="RHR36"/>
      <c r="RHS36"/>
      <c r="RHT36"/>
      <c r="RHU36"/>
      <c r="RHV36"/>
      <c r="RHW36"/>
      <c r="RHX36"/>
      <c r="RHY36"/>
      <c r="RHZ36"/>
      <c r="RIA36"/>
      <c r="RIB36"/>
      <c r="RIC36"/>
      <c r="RID36"/>
      <c r="RIE36"/>
      <c r="RIF36"/>
      <c r="RIG36"/>
      <c r="RIH36"/>
      <c r="RII36"/>
      <c r="RIJ36"/>
      <c r="RIK36"/>
      <c r="RIL36"/>
      <c r="RIM36"/>
      <c r="RIN36"/>
      <c r="RIO36"/>
      <c r="RIP36"/>
      <c r="RIQ36"/>
      <c r="RIR36"/>
      <c r="RIS36"/>
      <c r="RIT36"/>
      <c r="RIU36"/>
      <c r="RIV36"/>
      <c r="RIW36"/>
      <c r="RIX36"/>
      <c r="RIY36"/>
      <c r="RIZ36"/>
      <c r="RJA36"/>
      <c r="RJB36"/>
      <c r="RJC36"/>
      <c r="RJD36"/>
      <c r="RJE36"/>
      <c r="RJF36"/>
      <c r="RJG36"/>
      <c r="RJH36"/>
      <c r="RJI36"/>
      <c r="RJJ36"/>
      <c r="RJK36"/>
      <c r="RJL36"/>
      <c r="RJM36"/>
      <c r="RJN36"/>
      <c r="RJO36"/>
      <c r="RJP36"/>
      <c r="RJQ36"/>
      <c r="RJR36"/>
      <c r="RJS36"/>
      <c r="RJT36"/>
      <c r="RJU36"/>
      <c r="RJV36"/>
      <c r="RJW36"/>
      <c r="RJX36"/>
      <c r="RJY36"/>
      <c r="RJZ36"/>
      <c r="RKA36"/>
      <c r="RKB36"/>
      <c r="RKC36"/>
      <c r="RKD36"/>
      <c r="RKE36"/>
      <c r="RKF36"/>
      <c r="RKG36"/>
      <c r="RKH36"/>
      <c r="RKI36"/>
      <c r="RKJ36"/>
      <c r="RKK36"/>
      <c r="RKL36"/>
      <c r="RKM36"/>
      <c r="RKN36"/>
      <c r="RKO36"/>
      <c r="RKP36"/>
      <c r="RKQ36"/>
      <c r="RKR36"/>
      <c r="RKS36"/>
      <c r="RKT36"/>
      <c r="RKU36"/>
      <c r="RKV36"/>
      <c r="RKW36"/>
      <c r="RKX36"/>
      <c r="RKY36"/>
      <c r="RKZ36"/>
      <c r="RLA36"/>
      <c r="RLB36"/>
      <c r="RLC36"/>
      <c r="RLD36"/>
      <c r="RLE36"/>
      <c r="RLF36"/>
      <c r="RLG36"/>
      <c r="RLH36"/>
      <c r="RLI36"/>
      <c r="RLJ36"/>
      <c r="RLK36"/>
      <c r="RLL36"/>
      <c r="RLM36"/>
      <c r="RLN36"/>
      <c r="RLO36"/>
      <c r="RLP36"/>
      <c r="RLQ36"/>
      <c r="RLR36"/>
      <c r="RLS36"/>
      <c r="RLT36"/>
      <c r="RLU36"/>
      <c r="RLV36"/>
      <c r="RLW36"/>
      <c r="RLX36"/>
      <c r="RLY36"/>
      <c r="RLZ36"/>
      <c r="RMA36"/>
      <c r="RMB36"/>
      <c r="RMC36"/>
      <c r="RMD36"/>
      <c r="RME36"/>
      <c r="RMF36"/>
      <c r="RMG36"/>
      <c r="RMH36"/>
      <c r="RMI36"/>
      <c r="RMJ36"/>
      <c r="RMK36"/>
      <c r="RML36"/>
      <c r="RMM36"/>
      <c r="RMN36"/>
      <c r="RMO36"/>
      <c r="RMP36"/>
      <c r="RMQ36"/>
      <c r="RMR36"/>
      <c r="RMS36"/>
      <c r="RMT36"/>
      <c r="RMU36"/>
      <c r="RMV36"/>
      <c r="RMW36"/>
      <c r="RMX36"/>
      <c r="RMY36"/>
      <c r="RMZ36"/>
      <c r="RNA36"/>
      <c r="RNB36"/>
      <c r="RNC36"/>
      <c r="RND36"/>
      <c r="RNE36"/>
      <c r="RNF36"/>
      <c r="RNG36"/>
      <c r="RNH36"/>
      <c r="RNI36"/>
      <c r="RNJ36"/>
      <c r="RNK36"/>
      <c r="RNL36"/>
      <c r="RNM36"/>
      <c r="RNN36"/>
      <c r="RNO36"/>
      <c r="RNP36"/>
      <c r="RNQ36"/>
      <c r="RNR36"/>
      <c r="RNS36"/>
      <c r="RNT36"/>
      <c r="RNU36"/>
      <c r="RNV36"/>
      <c r="RNW36"/>
      <c r="RNX36"/>
      <c r="RNY36"/>
      <c r="RNZ36"/>
      <c r="ROA36"/>
      <c r="ROB36"/>
      <c r="ROC36"/>
      <c r="ROD36"/>
      <c r="ROE36"/>
      <c r="ROF36"/>
      <c r="ROG36"/>
      <c r="ROH36"/>
      <c r="ROI36"/>
      <c r="ROJ36"/>
      <c r="ROK36"/>
      <c r="ROL36"/>
      <c r="ROM36"/>
      <c r="RON36"/>
      <c r="ROO36"/>
      <c r="ROP36"/>
      <c r="ROQ36"/>
      <c r="ROR36"/>
      <c r="ROS36"/>
      <c r="ROT36"/>
      <c r="ROU36"/>
      <c r="ROV36"/>
      <c r="ROW36"/>
      <c r="ROX36"/>
      <c r="ROY36"/>
      <c r="ROZ36"/>
      <c r="RPA36"/>
      <c r="RPB36"/>
      <c r="RPC36"/>
      <c r="RPD36"/>
      <c r="RPE36"/>
      <c r="RPF36"/>
      <c r="RPG36"/>
      <c r="RPH36"/>
      <c r="RPI36"/>
      <c r="RPJ36"/>
      <c r="RPK36"/>
      <c r="RPL36"/>
      <c r="RPM36"/>
      <c r="RPN36"/>
      <c r="RPO36"/>
      <c r="RPP36"/>
      <c r="RPQ36"/>
      <c r="RPR36"/>
      <c r="RPS36"/>
      <c r="RPT36"/>
      <c r="RPU36"/>
      <c r="RPV36"/>
      <c r="RPW36"/>
      <c r="RPX36"/>
      <c r="RPY36"/>
      <c r="RPZ36"/>
      <c r="RQA36"/>
      <c r="RQB36"/>
      <c r="RQC36"/>
      <c r="RQD36"/>
      <c r="RQE36"/>
      <c r="RQF36"/>
      <c r="RQG36"/>
      <c r="RQH36"/>
      <c r="RQI36"/>
      <c r="RQJ36"/>
      <c r="RQK36"/>
      <c r="RQL36"/>
      <c r="RQM36"/>
      <c r="RQN36"/>
      <c r="RQO36"/>
      <c r="RQP36"/>
      <c r="RQQ36"/>
      <c r="RQR36"/>
      <c r="RQS36"/>
      <c r="RQT36"/>
      <c r="RQU36"/>
      <c r="RQV36"/>
      <c r="RQW36"/>
      <c r="RQX36"/>
      <c r="RQY36"/>
      <c r="RQZ36"/>
      <c r="RRA36"/>
      <c r="RRB36"/>
      <c r="RRC36"/>
      <c r="RRD36"/>
      <c r="RRE36"/>
      <c r="RRF36"/>
      <c r="RRG36"/>
      <c r="RRH36"/>
      <c r="RRI36"/>
      <c r="RRJ36"/>
      <c r="RRK36"/>
      <c r="RRL36"/>
      <c r="RRM36"/>
      <c r="RRN36"/>
      <c r="RRO36"/>
      <c r="RRP36"/>
      <c r="RRQ36"/>
      <c r="RRR36"/>
      <c r="RRS36"/>
      <c r="RRT36"/>
      <c r="RRU36"/>
      <c r="RRV36"/>
      <c r="RRW36"/>
      <c r="RRX36"/>
      <c r="RRY36"/>
      <c r="RRZ36"/>
      <c r="RSA36"/>
      <c r="RSB36"/>
      <c r="RSC36"/>
      <c r="RSD36"/>
      <c r="RSE36"/>
      <c r="RSF36"/>
      <c r="RSG36"/>
      <c r="RSH36"/>
      <c r="RSI36"/>
      <c r="RSJ36"/>
      <c r="RSK36"/>
      <c r="RSL36"/>
      <c r="RSM36"/>
      <c r="RSN36"/>
      <c r="RSO36"/>
      <c r="RSP36"/>
      <c r="RSQ36"/>
      <c r="RSR36"/>
      <c r="RSS36"/>
      <c r="RST36"/>
      <c r="RSU36"/>
      <c r="RSV36"/>
      <c r="RSW36"/>
      <c r="RSX36"/>
      <c r="RSY36"/>
      <c r="RSZ36"/>
      <c r="RTA36"/>
      <c r="RTB36"/>
      <c r="RTC36"/>
      <c r="RTD36"/>
      <c r="RTE36"/>
      <c r="RTF36"/>
      <c r="RTG36"/>
      <c r="RTH36"/>
      <c r="RTI36"/>
      <c r="RTJ36"/>
      <c r="RTK36"/>
      <c r="RTL36"/>
      <c r="RTM36"/>
      <c r="RTN36"/>
      <c r="RTO36"/>
      <c r="RTP36"/>
      <c r="RTQ36"/>
      <c r="RTR36"/>
      <c r="RTS36"/>
      <c r="RTT36"/>
      <c r="RTU36"/>
      <c r="RTV36"/>
      <c r="RTW36"/>
      <c r="RTX36"/>
      <c r="RTY36"/>
      <c r="RTZ36"/>
      <c r="RUA36"/>
      <c r="RUB36"/>
      <c r="RUC36"/>
      <c r="RUD36"/>
      <c r="RUE36"/>
      <c r="RUF36"/>
      <c r="RUG36"/>
      <c r="RUH36"/>
      <c r="RUI36"/>
      <c r="RUJ36"/>
      <c r="RUK36"/>
      <c r="RUL36"/>
      <c r="RUM36"/>
      <c r="RUN36"/>
      <c r="RUO36"/>
      <c r="RUP36"/>
      <c r="RUQ36"/>
      <c r="RUR36"/>
      <c r="RUS36"/>
      <c r="RUT36"/>
      <c r="RUU36"/>
      <c r="RUV36"/>
      <c r="RUW36"/>
      <c r="RUX36"/>
      <c r="RUY36"/>
      <c r="RUZ36"/>
      <c r="RVA36"/>
      <c r="RVB36"/>
      <c r="RVC36"/>
      <c r="RVD36"/>
      <c r="RVE36"/>
      <c r="RVF36"/>
      <c r="RVG36"/>
      <c r="RVH36"/>
      <c r="RVI36"/>
      <c r="RVJ36"/>
      <c r="RVK36"/>
      <c r="RVL36"/>
      <c r="RVM36"/>
      <c r="RVN36"/>
      <c r="RVO36"/>
      <c r="RVP36"/>
      <c r="RVQ36"/>
      <c r="RVR36"/>
      <c r="RVS36"/>
      <c r="RVT36"/>
      <c r="RVU36"/>
      <c r="RVV36"/>
      <c r="RVW36"/>
      <c r="RVX36"/>
      <c r="RVY36"/>
      <c r="RVZ36"/>
      <c r="RWA36"/>
      <c r="RWB36"/>
      <c r="RWC36"/>
      <c r="RWD36"/>
      <c r="RWE36"/>
      <c r="RWF36"/>
      <c r="RWG36"/>
      <c r="RWH36"/>
      <c r="RWI36"/>
      <c r="RWJ36"/>
      <c r="RWK36"/>
      <c r="RWL36"/>
      <c r="RWM36"/>
      <c r="RWN36"/>
      <c r="RWO36"/>
      <c r="RWP36"/>
      <c r="RWQ36"/>
      <c r="RWR36"/>
      <c r="RWS36"/>
      <c r="RWT36"/>
      <c r="RWU36"/>
      <c r="RWV36"/>
      <c r="RWW36"/>
      <c r="RWX36"/>
      <c r="RWY36"/>
      <c r="RWZ36"/>
      <c r="RXA36"/>
      <c r="RXB36"/>
      <c r="RXC36"/>
      <c r="RXD36"/>
      <c r="RXE36"/>
      <c r="RXF36"/>
      <c r="RXG36"/>
      <c r="RXH36"/>
      <c r="RXI36"/>
      <c r="RXJ36"/>
      <c r="RXK36"/>
      <c r="RXL36"/>
      <c r="RXM36"/>
      <c r="RXN36"/>
      <c r="RXO36"/>
      <c r="RXP36"/>
      <c r="RXQ36"/>
      <c r="RXR36"/>
      <c r="RXS36"/>
      <c r="RXT36"/>
      <c r="RXU36"/>
      <c r="RXV36"/>
      <c r="RXW36"/>
      <c r="RXX36"/>
      <c r="RXY36"/>
      <c r="RXZ36"/>
      <c r="RYA36"/>
      <c r="RYB36"/>
      <c r="RYC36"/>
      <c r="RYD36"/>
      <c r="RYE36"/>
      <c r="RYF36"/>
      <c r="RYG36"/>
      <c r="RYH36"/>
      <c r="RYI36"/>
      <c r="RYJ36"/>
      <c r="RYK36"/>
      <c r="RYL36"/>
      <c r="RYM36"/>
      <c r="RYN36"/>
      <c r="RYO36"/>
      <c r="RYP36"/>
      <c r="RYQ36"/>
      <c r="RYR36"/>
      <c r="RYS36"/>
      <c r="RYT36"/>
      <c r="RYU36"/>
      <c r="RYV36"/>
      <c r="RYW36"/>
      <c r="RYX36"/>
      <c r="RYY36"/>
      <c r="RYZ36"/>
      <c r="RZA36"/>
      <c r="RZB36"/>
      <c r="RZC36"/>
      <c r="RZD36"/>
      <c r="RZE36"/>
      <c r="RZF36"/>
      <c r="RZG36"/>
      <c r="RZH36"/>
      <c r="RZI36"/>
      <c r="RZJ36"/>
      <c r="RZK36"/>
      <c r="RZL36"/>
      <c r="RZM36"/>
      <c r="RZN36"/>
      <c r="RZO36"/>
      <c r="RZP36"/>
      <c r="RZQ36"/>
      <c r="RZR36"/>
      <c r="RZS36"/>
      <c r="RZT36"/>
      <c r="RZU36"/>
      <c r="RZV36"/>
      <c r="RZW36"/>
      <c r="RZX36"/>
      <c r="RZY36"/>
      <c r="RZZ36"/>
      <c r="SAA36"/>
      <c r="SAB36"/>
      <c r="SAC36"/>
      <c r="SAD36"/>
      <c r="SAE36"/>
      <c r="SAF36"/>
      <c r="SAG36"/>
      <c r="SAH36"/>
      <c r="SAI36"/>
      <c r="SAJ36"/>
      <c r="SAK36"/>
      <c r="SAL36"/>
      <c r="SAM36"/>
      <c r="SAN36"/>
      <c r="SAO36"/>
      <c r="SAP36"/>
      <c r="SAQ36"/>
      <c r="SAR36"/>
      <c r="SAS36"/>
      <c r="SAT36"/>
      <c r="SAU36"/>
      <c r="SAV36"/>
      <c r="SAW36"/>
      <c r="SAX36"/>
      <c r="SAY36"/>
      <c r="SAZ36"/>
      <c r="SBA36"/>
      <c r="SBB36"/>
      <c r="SBC36"/>
      <c r="SBD36"/>
      <c r="SBE36"/>
      <c r="SBF36"/>
      <c r="SBG36"/>
      <c r="SBH36"/>
      <c r="SBI36"/>
      <c r="SBJ36"/>
      <c r="SBK36"/>
      <c r="SBL36"/>
      <c r="SBM36"/>
      <c r="SBN36"/>
      <c r="SBO36"/>
      <c r="SBP36"/>
      <c r="SBQ36"/>
      <c r="SBR36"/>
      <c r="SBS36"/>
      <c r="SBT36"/>
      <c r="SBU36"/>
      <c r="SBV36"/>
      <c r="SBW36"/>
      <c r="SBX36"/>
      <c r="SBY36"/>
      <c r="SBZ36"/>
      <c r="SCA36"/>
      <c r="SCB36"/>
      <c r="SCC36"/>
      <c r="SCD36"/>
      <c r="SCE36"/>
      <c r="SCF36"/>
      <c r="SCG36"/>
      <c r="SCH36"/>
      <c r="SCI36"/>
      <c r="SCJ36"/>
      <c r="SCK36"/>
      <c r="SCL36"/>
      <c r="SCM36"/>
      <c r="SCN36"/>
      <c r="SCO36"/>
      <c r="SCP36"/>
      <c r="SCQ36"/>
      <c r="SCR36"/>
      <c r="SCS36"/>
      <c r="SCT36"/>
      <c r="SCU36"/>
      <c r="SCV36"/>
      <c r="SCW36"/>
      <c r="SCX36"/>
      <c r="SCY36"/>
      <c r="SCZ36"/>
      <c r="SDA36"/>
      <c r="SDB36"/>
      <c r="SDC36"/>
      <c r="SDD36"/>
      <c r="SDE36"/>
      <c r="SDF36"/>
      <c r="SDG36"/>
      <c r="SDH36"/>
      <c r="SDI36"/>
      <c r="SDJ36"/>
      <c r="SDK36"/>
      <c r="SDL36"/>
      <c r="SDM36"/>
      <c r="SDN36"/>
      <c r="SDO36"/>
      <c r="SDP36"/>
      <c r="SDQ36"/>
      <c r="SDR36"/>
      <c r="SDS36"/>
      <c r="SDT36"/>
      <c r="SDU36"/>
      <c r="SDV36"/>
      <c r="SDW36"/>
      <c r="SDX36"/>
      <c r="SDY36"/>
      <c r="SDZ36"/>
      <c r="SEA36"/>
      <c r="SEB36"/>
      <c r="SEC36"/>
      <c r="SED36"/>
      <c r="SEE36"/>
      <c r="SEF36"/>
      <c r="SEG36"/>
      <c r="SEH36"/>
      <c r="SEI36"/>
      <c r="SEJ36"/>
      <c r="SEK36"/>
      <c r="SEL36"/>
      <c r="SEM36"/>
      <c r="SEN36"/>
      <c r="SEO36"/>
      <c r="SEP36"/>
      <c r="SEQ36"/>
      <c r="SER36"/>
      <c r="SES36"/>
      <c r="SET36"/>
      <c r="SEU36"/>
      <c r="SEV36"/>
      <c r="SEW36"/>
      <c r="SEX36"/>
      <c r="SEY36"/>
      <c r="SEZ36"/>
      <c r="SFA36"/>
      <c r="SFB36"/>
      <c r="SFC36"/>
      <c r="SFD36"/>
      <c r="SFE36"/>
      <c r="SFF36"/>
      <c r="SFG36"/>
      <c r="SFH36"/>
      <c r="SFI36"/>
      <c r="SFJ36"/>
      <c r="SFK36"/>
      <c r="SFL36"/>
      <c r="SFM36"/>
      <c r="SFN36"/>
      <c r="SFO36"/>
      <c r="SFP36"/>
      <c r="SFQ36"/>
      <c r="SFR36"/>
      <c r="SFS36"/>
      <c r="SFT36"/>
      <c r="SFU36"/>
      <c r="SFV36"/>
      <c r="SFW36"/>
      <c r="SFX36"/>
      <c r="SFY36"/>
      <c r="SFZ36"/>
      <c r="SGA36"/>
      <c r="SGB36"/>
      <c r="SGC36"/>
      <c r="SGD36"/>
      <c r="SGE36"/>
      <c r="SGF36"/>
      <c r="SGG36"/>
      <c r="SGH36"/>
      <c r="SGI36"/>
      <c r="SGJ36"/>
      <c r="SGK36"/>
      <c r="SGL36"/>
      <c r="SGM36"/>
      <c r="SGN36"/>
      <c r="SGO36"/>
      <c r="SGP36"/>
      <c r="SGQ36"/>
      <c r="SGR36"/>
      <c r="SGS36"/>
      <c r="SGT36"/>
      <c r="SGU36"/>
      <c r="SGV36"/>
      <c r="SGW36"/>
      <c r="SGX36"/>
      <c r="SGY36"/>
      <c r="SGZ36"/>
      <c r="SHA36"/>
      <c r="SHB36"/>
      <c r="SHC36"/>
      <c r="SHD36"/>
      <c r="SHE36"/>
      <c r="SHF36"/>
      <c r="SHG36"/>
      <c r="SHH36"/>
      <c r="SHI36"/>
      <c r="SHJ36"/>
      <c r="SHK36"/>
      <c r="SHL36"/>
      <c r="SHM36"/>
      <c r="SHN36"/>
      <c r="SHO36"/>
      <c r="SHP36"/>
      <c r="SHQ36"/>
      <c r="SHR36"/>
      <c r="SHS36"/>
      <c r="SHT36"/>
      <c r="SHU36"/>
      <c r="SHV36"/>
      <c r="SHW36"/>
      <c r="SHX36"/>
      <c r="SHY36"/>
      <c r="SHZ36"/>
      <c r="SIA36"/>
      <c r="SIB36"/>
      <c r="SIC36"/>
      <c r="SID36"/>
      <c r="SIE36"/>
      <c r="SIF36"/>
      <c r="SIG36"/>
      <c r="SIH36"/>
      <c r="SII36"/>
      <c r="SIJ36"/>
      <c r="SIK36"/>
      <c r="SIL36"/>
      <c r="SIM36"/>
      <c r="SIN36"/>
      <c r="SIO36"/>
      <c r="SIP36"/>
      <c r="SIQ36"/>
      <c r="SIR36"/>
      <c r="SIS36"/>
      <c r="SIT36"/>
      <c r="SIU36"/>
      <c r="SIV36"/>
      <c r="SIW36"/>
      <c r="SIX36"/>
      <c r="SIY36"/>
      <c r="SIZ36"/>
      <c r="SJA36"/>
      <c r="SJB36"/>
      <c r="SJC36"/>
      <c r="SJD36"/>
      <c r="SJE36"/>
      <c r="SJF36"/>
      <c r="SJG36"/>
      <c r="SJH36"/>
      <c r="SJI36"/>
      <c r="SJJ36"/>
      <c r="SJK36"/>
      <c r="SJL36"/>
      <c r="SJM36"/>
      <c r="SJN36"/>
      <c r="SJO36"/>
      <c r="SJP36"/>
      <c r="SJQ36"/>
      <c r="SJR36"/>
      <c r="SJS36"/>
      <c r="SJT36"/>
      <c r="SJU36"/>
      <c r="SJV36"/>
      <c r="SJW36"/>
      <c r="SJX36"/>
      <c r="SJY36"/>
      <c r="SJZ36"/>
      <c r="SKA36"/>
      <c r="SKB36"/>
      <c r="SKC36"/>
      <c r="SKD36"/>
      <c r="SKE36"/>
      <c r="SKF36"/>
      <c r="SKG36"/>
      <c r="SKH36"/>
      <c r="SKI36"/>
      <c r="SKJ36"/>
      <c r="SKK36"/>
      <c r="SKL36"/>
      <c r="SKM36"/>
      <c r="SKN36"/>
      <c r="SKO36"/>
      <c r="SKP36"/>
      <c r="SKQ36"/>
      <c r="SKR36"/>
      <c r="SKS36"/>
      <c r="SKT36"/>
      <c r="SKU36"/>
      <c r="SKV36"/>
      <c r="SKW36"/>
      <c r="SKX36"/>
      <c r="SKY36"/>
      <c r="SKZ36"/>
      <c r="SLA36"/>
      <c r="SLB36"/>
      <c r="SLC36"/>
      <c r="SLD36"/>
      <c r="SLE36"/>
      <c r="SLF36"/>
      <c r="SLG36"/>
      <c r="SLH36"/>
      <c r="SLI36"/>
      <c r="SLJ36"/>
      <c r="SLK36"/>
      <c r="SLL36"/>
      <c r="SLM36"/>
      <c r="SLN36"/>
      <c r="SLO36"/>
      <c r="SLP36"/>
      <c r="SLQ36"/>
      <c r="SLR36"/>
      <c r="SLS36"/>
      <c r="SLT36"/>
      <c r="SLU36"/>
      <c r="SLV36"/>
      <c r="SLW36"/>
      <c r="SLX36"/>
      <c r="SLY36"/>
      <c r="SLZ36"/>
      <c r="SMA36"/>
      <c r="SMB36"/>
      <c r="SMC36"/>
      <c r="SMD36"/>
      <c r="SME36"/>
      <c r="SMF36"/>
      <c r="SMG36"/>
      <c r="SMH36"/>
      <c r="SMI36"/>
      <c r="SMJ36"/>
      <c r="SMK36"/>
      <c r="SML36"/>
      <c r="SMM36"/>
      <c r="SMN36"/>
      <c r="SMO36"/>
      <c r="SMP36"/>
      <c r="SMQ36"/>
      <c r="SMR36"/>
      <c r="SMS36"/>
      <c r="SMT36"/>
      <c r="SMU36"/>
      <c r="SMV36"/>
      <c r="SMW36"/>
      <c r="SMX36"/>
      <c r="SMY36"/>
      <c r="SMZ36"/>
      <c r="SNA36"/>
      <c r="SNB36"/>
      <c r="SNC36"/>
      <c r="SND36"/>
      <c r="SNE36"/>
      <c r="SNF36"/>
      <c r="SNG36"/>
      <c r="SNH36"/>
      <c r="SNI36"/>
      <c r="SNJ36"/>
      <c r="SNK36"/>
      <c r="SNL36"/>
      <c r="SNM36"/>
      <c r="SNN36"/>
      <c r="SNO36"/>
      <c r="SNP36"/>
      <c r="SNQ36"/>
      <c r="SNR36"/>
      <c r="SNS36"/>
      <c r="SNT36"/>
      <c r="SNU36"/>
      <c r="SNV36"/>
      <c r="SNW36"/>
      <c r="SNX36"/>
      <c r="SNY36"/>
      <c r="SNZ36"/>
      <c r="SOA36"/>
      <c r="SOB36"/>
      <c r="SOC36"/>
      <c r="SOD36"/>
      <c r="SOE36"/>
      <c r="SOF36"/>
      <c r="SOG36"/>
      <c r="SOH36"/>
      <c r="SOI36"/>
      <c r="SOJ36"/>
      <c r="SOK36"/>
      <c r="SOL36"/>
      <c r="SOM36"/>
      <c r="SON36"/>
      <c r="SOO36"/>
      <c r="SOP36"/>
      <c r="SOQ36"/>
      <c r="SOR36"/>
      <c r="SOS36"/>
      <c r="SOT36"/>
      <c r="SOU36"/>
      <c r="SOV36"/>
      <c r="SOW36"/>
      <c r="SOX36"/>
      <c r="SOY36"/>
      <c r="SOZ36"/>
      <c r="SPA36"/>
      <c r="SPB36"/>
      <c r="SPC36"/>
      <c r="SPD36"/>
      <c r="SPE36"/>
      <c r="SPF36"/>
      <c r="SPG36"/>
      <c r="SPH36"/>
      <c r="SPI36"/>
      <c r="SPJ36"/>
      <c r="SPK36"/>
      <c r="SPL36"/>
      <c r="SPM36"/>
      <c r="SPN36"/>
      <c r="SPO36"/>
      <c r="SPP36"/>
      <c r="SPQ36"/>
      <c r="SPR36"/>
      <c r="SPS36"/>
      <c r="SPT36"/>
      <c r="SPU36"/>
      <c r="SPV36"/>
      <c r="SPW36"/>
      <c r="SPX36"/>
      <c r="SPY36"/>
      <c r="SPZ36"/>
      <c r="SQA36"/>
      <c r="SQB36"/>
      <c r="SQC36"/>
      <c r="SQD36"/>
      <c r="SQE36"/>
      <c r="SQF36"/>
      <c r="SQG36"/>
      <c r="SQH36"/>
      <c r="SQI36"/>
      <c r="SQJ36"/>
      <c r="SQK36"/>
      <c r="SQL36"/>
      <c r="SQM36"/>
      <c r="SQN36"/>
      <c r="SQO36"/>
      <c r="SQP36"/>
      <c r="SQQ36"/>
      <c r="SQR36"/>
      <c r="SQS36"/>
      <c r="SQT36"/>
      <c r="SQU36"/>
      <c r="SQV36"/>
      <c r="SQW36"/>
      <c r="SQX36"/>
      <c r="SQY36"/>
      <c r="SQZ36"/>
      <c r="SRA36"/>
      <c r="SRB36"/>
      <c r="SRC36"/>
      <c r="SRD36"/>
      <c r="SRE36"/>
      <c r="SRF36"/>
      <c r="SRG36"/>
      <c r="SRH36"/>
      <c r="SRI36"/>
      <c r="SRJ36"/>
      <c r="SRK36"/>
      <c r="SRL36"/>
      <c r="SRM36"/>
      <c r="SRN36"/>
      <c r="SRO36"/>
      <c r="SRP36"/>
      <c r="SRQ36"/>
      <c r="SRR36"/>
      <c r="SRS36"/>
      <c r="SRT36"/>
      <c r="SRU36"/>
      <c r="SRV36"/>
      <c r="SRW36"/>
      <c r="SRX36"/>
      <c r="SRY36"/>
      <c r="SRZ36"/>
      <c r="SSA36"/>
      <c r="SSB36"/>
      <c r="SSC36"/>
      <c r="SSD36"/>
      <c r="SSE36"/>
      <c r="SSF36"/>
      <c r="SSG36"/>
      <c r="SSH36"/>
      <c r="SSI36"/>
      <c r="SSJ36"/>
      <c r="SSK36"/>
      <c r="SSL36"/>
      <c r="SSM36"/>
      <c r="SSN36"/>
      <c r="SSO36"/>
      <c r="SSP36"/>
      <c r="SSQ36"/>
      <c r="SSR36"/>
      <c r="SSS36"/>
      <c r="SST36"/>
      <c r="SSU36"/>
      <c r="SSV36"/>
      <c r="SSW36"/>
      <c r="SSX36"/>
      <c r="SSY36"/>
      <c r="SSZ36"/>
      <c r="STA36"/>
      <c r="STB36"/>
      <c r="STC36"/>
      <c r="STD36"/>
      <c r="STE36"/>
      <c r="STF36"/>
      <c r="STG36"/>
      <c r="STH36"/>
      <c r="STI36"/>
      <c r="STJ36"/>
      <c r="STK36"/>
      <c r="STL36"/>
      <c r="STM36"/>
      <c r="STN36"/>
      <c r="STO36"/>
      <c r="STP36"/>
      <c r="STQ36"/>
      <c r="STR36"/>
      <c r="STS36"/>
      <c r="STT36"/>
      <c r="STU36"/>
      <c r="STV36"/>
      <c r="STW36"/>
      <c r="STX36"/>
      <c r="STY36"/>
      <c r="STZ36"/>
      <c r="SUA36"/>
      <c r="SUB36"/>
      <c r="SUC36"/>
      <c r="SUD36"/>
      <c r="SUE36"/>
      <c r="SUF36"/>
      <c r="SUG36"/>
      <c r="SUH36"/>
      <c r="SUI36"/>
      <c r="SUJ36"/>
      <c r="SUK36"/>
      <c r="SUL36"/>
      <c r="SUM36"/>
      <c r="SUN36"/>
      <c r="SUO36"/>
      <c r="SUP36"/>
      <c r="SUQ36"/>
      <c r="SUR36"/>
      <c r="SUS36"/>
      <c r="SUT36"/>
      <c r="SUU36"/>
      <c r="SUV36"/>
      <c r="SUW36"/>
      <c r="SUX36"/>
      <c r="SUY36"/>
      <c r="SUZ36"/>
      <c r="SVA36"/>
      <c r="SVB36"/>
      <c r="SVC36"/>
      <c r="SVD36"/>
      <c r="SVE36"/>
      <c r="SVF36"/>
      <c r="SVG36"/>
      <c r="SVH36"/>
      <c r="SVI36"/>
      <c r="SVJ36"/>
      <c r="SVK36"/>
      <c r="SVL36"/>
      <c r="SVM36"/>
      <c r="SVN36"/>
      <c r="SVO36"/>
      <c r="SVP36"/>
      <c r="SVQ36"/>
      <c r="SVR36"/>
      <c r="SVS36"/>
      <c r="SVT36"/>
      <c r="SVU36"/>
      <c r="SVV36"/>
      <c r="SVW36"/>
      <c r="SVX36"/>
      <c r="SVY36"/>
      <c r="SVZ36"/>
      <c r="SWA36"/>
      <c r="SWB36"/>
      <c r="SWC36"/>
      <c r="SWD36"/>
      <c r="SWE36"/>
      <c r="SWF36"/>
      <c r="SWG36"/>
      <c r="SWH36"/>
      <c r="SWI36"/>
      <c r="SWJ36"/>
      <c r="SWK36"/>
      <c r="SWL36"/>
      <c r="SWM36"/>
      <c r="SWN36"/>
      <c r="SWO36"/>
      <c r="SWP36"/>
      <c r="SWQ36"/>
      <c r="SWR36"/>
      <c r="SWS36"/>
      <c r="SWT36"/>
      <c r="SWU36"/>
      <c r="SWV36"/>
      <c r="SWW36"/>
      <c r="SWX36"/>
      <c r="SWY36"/>
      <c r="SWZ36"/>
      <c r="SXA36"/>
      <c r="SXB36"/>
      <c r="SXC36"/>
      <c r="SXD36"/>
      <c r="SXE36"/>
      <c r="SXF36"/>
      <c r="SXG36"/>
      <c r="SXH36"/>
      <c r="SXI36"/>
      <c r="SXJ36"/>
      <c r="SXK36"/>
      <c r="SXL36"/>
      <c r="SXM36"/>
      <c r="SXN36"/>
      <c r="SXO36"/>
      <c r="SXP36"/>
      <c r="SXQ36"/>
      <c r="SXR36"/>
      <c r="SXS36"/>
      <c r="SXT36"/>
      <c r="SXU36"/>
      <c r="SXV36"/>
      <c r="SXW36"/>
      <c r="SXX36"/>
      <c r="SXY36"/>
      <c r="SXZ36"/>
      <c r="SYA36"/>
      <c r="SYB36"/>
      <c r="SYC36"/>
      <c r="SYD36"/>
      <c r="SYE36"/>
      <c r="SYF36"/>
      <c r="SYG36"/>
      <c r="SYH36"/>
      <c r="SYI36"/>
      <c r="SYJ36"/>
      <c r="SYK36"/>
      <c r="SYL36"/>
      <c r="SYM36"/>
      <c r="SYN36"/>
      <c r="SYO36"/>
      <c r="SYP36"/>
      <c r="SYQ36"/>
      <c r="SYR36"/>
      <c r="SYS36"/>
      <c r="SYT36"/>
      <c r="SYU36"/>
      <c r="SYV36"/>
      <c r="SYW36"/>
      <c r="SYX36"/>
      <c r="SYY36"/>
      <c r="SYZ36"/>
      <c r="SZA36"/>
      <c r="SZB36"/>
      <c r="SZC36"/>
      <c r="SZD36"/>
      <c r="SZE36"/>
      <c r="SZF36"/>
      <c r="SZG36"/>
      <c r="SZH36"/>
      <c r="SZI36"/>
      <c r="SZJ36"/>
      <c r="SZK36"/>
      <c r="SZL36"/>
      <c r="SZM36"/>
      <c r="SZN36"/>
      <c r="SZO36"/>
      <c r="SZP36"/>
      <c r="SZQ36"/>
      <c r="SZR36"/>
      <c r="SZS36"/>
      <c r="SZT36"/>
      <c r="SZU36"/>
      <c r="SZV36"/>
      <c r="SZW36"/>
      <c r="SZX36"/>
      <c r="SZY36"/>
      <c r="SZZ36"/>
      <c r="TAA36"/>
      <c r="TAB36"/>
      <c r="TAC36"/>
      <c r="TAD36"/>
      <c r="TAE36"/>
      <c r="TAF36"/>
      <c r="TAG36"/>
      <c r="TAH36"/>
      <c r="TAI36"/>
      <c r="TAJ36"/>
      <c r="TAK36"/>
      <c r="TAL36"/>
      <c r="TAM36"/>
      <c r="TAN36"/>
      <c r="TAO36"/>
      <c r="TAP36"/>
      <c r="TAQ36"/>
      <c r="TAR36"/>
      <c r="TAS36"/>
      <c r="TAT36"/>
      <c r="TAU36"/>
      <c r="TAV36"/>
      <c r="TAW36"/>
      <c r="TAX36"/>
      <c r="TAY36"/>
      <c r="TAZ36"/>
      <c r="TBA36"/>
      <c r="TBB36"/>
      <c r="TBC36"/>
      <c r="TBD36"/>
      <c r="TBE36"/>
      <c r="TBF36"/>
      <c r="TBG36"/>
      <c r="TBH36"/>
      <c r="TBI36"/>
      <c r="TBJ36"/>
      <c r="TBK36"/>
      <c r="TBL36"/>
      <c r="TBM36"/>
      <c r="TBN36"/>
      <c r="TBO36"/>
      <c r="TBP36"/>
      <c r="TBQ36"/>
      <c r="TBR36"/>
      <c r="TBS36"/>
      <c r="TBT36"/>
      <c r="TBU36"/>
      <c r="TBV36"/>
      <c r="TBW36"/>
      <c r="TBX36"/>
      <c r="TBY36"/>
      <c r="TBZ36"/>
      <c r="TCA36"/>
      <c r="TCB36"/>
      <c r="TCC36"/>
      <c r="TCD36"/>
      <c r="TCE36"/>
      <c r="TCF36"/>
      <c r="TCG36"/>
      <c r="TCH36"/>
      <c r="TCI36"/>
      <c r="TCJ36"/>
      <c r="TCK36"/>
      <c r="TCL36"/>
      <c r="TCM36"/>
      <c r="TCN36"/>
      <c r="TCO36"/>
      <c r="TCP36"/>
      <c r="TCQ36"/>
      <c r="TCR36"/>
      <c r="TCS36"/>
      <c r="TCT36"/>
      <c r="TCU36"/>
      <c r="TCV36"/>
      <c r="TCW36"/>
      <c r="TCX36"/>
      <c r="TCY36"/>
      <c r="TCZ36"/>
      <c r="TDA36"/>
      <c r="TDB36"/>
      <c r="TDC36"/>
      <c r="TDD36"/>
      <c r="TDE36"/>
      <c r="TDF36"/>
      <c r="TDG36"/>
      <c r="TDH36"/>
      <c r="TDI36"/>
      <c r="TDJ36"/>
      <c r="TDK36"/>
      <c r="TDL36"/>
      <c r="TDM36"/>
      <c r="TDN36"/>
      <c r="TDO36"/>
      <c r="TDP36"/>
      <c r="TDQ36"/>
      <c r="TDR36"/>
      <c r="TDS36"/>
      <c r="TDT36"/>
      <c r="TDU36"/>
      <c r="TDV36"/>
      <c r="TDW36"/>
      <c r="TDX36"/>
      <c r="TDY36"/>
      <c r="TDZ36"/>
      <c r="TEA36"/>
      <c r="TEB36"/>
      <c r="TEC36"/>
      <c r="TED36"/>
      <c r="TEE36"/>
      <c r="TEF36"/>
      <c r="TEG36"/>
      <c r="TEH36"/>
      <c r="TEI36"/>
      <c r="TEJ36"/>
      <c r="TEK36"/>
      <c r="TEL36"/>
      <c r="TEM36"/>
      <c r="TEN36"/>
      <c r="TEO36"/>
      <c r="TEP36"/>
      <c r="TEQ36"/>
      <c r="TER36"/>
      <c r="TES36"/>
      <c r="TET36"/>
      <c r="TEU36"/>
      <c r="TEV36"/>
      <c r="TEW36"/>
      <c r="TEX36"/>
      <c r="TEY36"/>
      <c r="TEZ36"/>
      <c r="TFA36"/>
      <c r="TFB36"/>
      <c r="TFC36"/>
      <c r="TFD36"/>
      <c r="TFE36"/>
      <c r="TFF36"/>
      <c r="TFG36"/>
      <c r="TFH36"/>
      <c r="TFI36"/>
      <c r="TFJ36"/>
      <c r="TFK36"/>
      <c r="TFL36"/>
      <c r="TFM36"/>
      <c r="TFN36"/>
      <c r="TFO36"/>
      <c r="TFP36"/>
      <c r="TFQ36"/>
      <c r="TFR36"/>
      <c r="TFS36"/>
      <c r="TFT36"/>
      <c r="TFU36"/>
      <c r="TFV36"/>
      <c r="TFW36"/>
      <c r="TFX36"/>
      <c r="TFY36"/>
      <c r="TFZ36"/>
      <c r="TGA36"/>
      <c r="TGB36"/>
      <c r="TGC36"/>
      <c r="TGD36"/>
      <c r="TGE36"/>
      <c r="TGF36"/>
      <c r="TGG36"/>
      <c r="TGH36"/>
      <c r="TGI36"/>
      <c r="TGJ36"/>
      <c r="TGK36"/>
      <c r="TGL36"/>
      <c r="TGM36"/>
      <c r="TGN36"/>
      <c r="TGO36"/>
      <c r="TGP36"/>
      <c r="TGQ36"/>
      <c r="TGR36"/>
      <c r="TGS36"/>
      <c r="TGT36"/>
      <c r="TGU36"/>
      <c r="TGV36"/>
      <c r="TGW36"/>
      <c r="TGX36"/>
      <c r="TGY36"/>
      <c r="TGZ36"/>
      <c r="THA36"/>
      <c r="THB36"/>
      <c r="THC36"/>
      <c r="THD36"/>
      <c r="THE36"/>
      <c r="THF36"/>
      <c r="THG36"/>
      <c r="THH36"/>
      <c r="THI36"/>
      <c r="THJ36"/>
      <c r="THK36"/>
      <c r="THL36"/>
      <c r="THM36"/>
      <c r="THN36"/>
      <c r="THO36"/>
      <c r="THP36"/>
      <c r="THQ36"/>
      <c r="THR36"/>
      <c r="THS36"/>
      <c r="THT36"/>
      <c r="THU36"/>
      <c r="THV36"/>
      <c r="THW36"/>
      <c r="THX36"/>
      <c r="THY36"/>
      <c r="THZ36"/>
      <c r="TIA36"/>
      <c r="TIB36"/>
      <c r="TIC36"/>
      <c r="TID36"/>
      <c r="TIE36"/>
      <c r="TIF36"/>
      <c r="TIG36"/>
      <c r="TIH36"/>
      <c r="TII36"/>
      <c r="TIJ36"/>
      <c r="TIK36"/>
      <c r="TIL36"/>
      <c r="TIM36"/>
      <c r="TIN36"/>
      <c r="TIO36"/>
      <c r="TIP36"/>
      <c r="TIQ36"/>
      <c r="TIR36"/>
      <c r="TIS36"/>
      <c r="TIT36"/>
      <c r="TIU36"/>
      <c r="TIV36"/>
      <c r="TIW36"/>
      <c r="TIX36"/>
      <c r="TIY36"/>
      <c r="TIZ36"/>
      <c r="TJA36"/>
      <c r="TJB36"/>
      <c r="TJC36"/>
      <c r="TJD36"/>
      <c r="TJE36"/>
      <c r="TJF36"/>
      <c r="TJG36"/>
      <c r="TJH36"/>
      <c r="TJI36"/>
      <c r="TJJ36"/>
      <c r="TJK36"/>
      <c r="TJL36"/>
      <c r="TJM36"/>
      <c r="TJN36"/>
      <c r="TJO36"/>
      <c r="TJP36"/>
      <c r="TJQ36"/>
      <c r="TJR36"/>
      <c r="TJS36"/>
      <c r="TJT36"/>
      <c r="TJU36"/>
      <c r="TJV36"/>
      <c r="TJW36"/>
      <c r="TJX36"/>
      <c r="TJY36"/>
      <c r="TJZ36"/>
      <c r="TKA36"/>
      <c r="TKB36"/>
      <c r="TKC36"/>
      <c r="TKD36"/>
      <c r="TKE36"/>
      <c r="TKF36"/>
      <c r="TKG36"/>
      <c r="TKH36"/>
      <c r="TKI36"/>
      <c r="TKJ36"/>
      <c r="TKK36"/>
      <c r="TKL36"/>
      <c r="TKM36"/>
      <c r="TKN36"/>
      <c r="TKO36"/>
      <c r="TKP36"/>
      <c r="TKQ36"/>
      <c r="TKR36"/>
      <c r="TKS36"/>
      <c r="TKT36"/>
      <c r="TKU36"/>
      <c r="TKV36"/>
      <c r="TKW36"/>
      <c r="TKX36"/>
      <c r="TKY36"/>
      <c r="TKZ36"/>
      <c r="TLA36"/>
      <c r="TLB36"/>
      <c r="TLC36"/>
      <c r="TLD36"/>
      <c r="TLE36"/>
      <c r="TLF36"/>
      <c r="TLG36"/>
      <c r="TLH36"/>
      <c r="TLI36"/>
      <c r="TLJ36"/>
      <c r="TLK36"/>
      <c r="TLL36"/>
      <c r="TLM36"/>
      <c r="TLN36"/>
      <c r="TLO36"/>
      <c r="TLP36"/>
      <c r="TLQ36"/>
      <c r="TLR36"/>
      <c r="TLS36"/>
      <c r="TLT36"/>
      <c r="TLU36"/>
      <c r="TLV36"/>
      <c r="TLW36"/>
      <c r="TLX36"/>
      <c r="TLY36"/>
      <c r="TLZ36"/>
      <c r="TMA36"/>
      <c r="TMB36"/>
      <c r="TMC36"/>
      <c r="TMD36"/>
      <c r="TME36"/>
      <c r="TMF36"/>
      <c r="TMG36"/>
      <c r="TMH36"/>
      <c r="TMI36"/>
      <c r="TMJ36"/>
      <c r="TMK36"/>
      <c r="TML36"/>
      <c r="TMM36"/>
      <c r="TMN36"/>
      <c r="TMO36"/>
      <c r="TMP36"/>
      <c r="TMQ36"/>
      <c r="TMR36"/>
      <c r="TMS36"/>
      <c r="TMT36"/>
      <c r="TMU36"/>
      <c r="TMV36"/>
      <c r="TMW36"/>
      <c r="TMX36"/>
      <c r="TMY36"/>
      <c r="TMZ36"/>
      <c r="TNA36"/>
      <c r="TNB36"/>
      <c r="TNC36"/>
      <c r="TND36"/>
      <c r="TNE36"/>
      <c r="TNF36"/>
      <c r="TNG36"/>
      <c r="TNH36"/>
      <c r="TNI36"/>
      <c r="TNJ36"/>
      <c r="TNK36"/>
      <c r="TNL36"/>
      <c r="TNM36"/>
      <c r="TNN36"/>
      <c r="TNO36"/>
      <c r="TNP36"/>
      <c r="TNQ36"/>
      <c r="TNR36"/>
      <c r="TNS36"/>
      <c r="TNT36"/>
      <c r="TNU36"/>
      <c r="TNV36"/>
      <c r="TNW36"/>
      <c r="TNX36"/>
      <c r="TNY36"/>
      <c r="TNZ36"/>
      <c r="TOA36"/>
      <c r="TOB36"/>
      <c r="TOC36"/>
      <c r="TOD36"/>
      <c r="TOE36"/>
      <c r="TOF36"/>
      <c r="TOG36"/>
      <c r="TOH36"/>
      <c r="TOI36"/>
      <c r="TOJ36"/>
      <c r="TOK36"/>
      <c r="TOL36"/>
      <c r="TOM36"/>
      <c r="TON36"/>
      <c r="TOO36"/>
      <c r="TOP36"/>
      <c r="TOQ36"/>
      <c r="TOR36"/>
      <c r="TOS36"/>
      <c r="TOT36"/>
      <c r="TOU36"/>
      <c r="TOV36"/>
      <c r="TOW36"/>
      <c r="TOX36"/>
      <c r="TOY36"/>
      <c r="TOZ36"/>
      <c r="TPA36"/>
      <c r="TPB36"/>
      <c r="TPC36"/>
      <c r="TPD36"/>
      <c r="TPE36"/>
      <c r="TPF36"/>
      <c r="TPG36"/>
      <c r="TPH36"/>
      <c r="TPI36"/>
      <c r="TPJ36"/>
      <c r="TPK36"/>
      <c r="TPL36"/>
      <c r="TPM36"/>
      <c r="TPN36"/>
      <c r="TPO36"/>
      <c r="TPP36"/>
      <c r="TPQ36"/>
      <c r="TPR36"/>
      <c r="TPS36"/>
      <c r="TPT36"/>
      <c r="TPU36"/>
      <c r="TPV36"/>
      <c r="TPW36"/>
      <c r="TPX36"/>
      <c r="TPY36"/>
      <c r="TPZ36"/>
      <c r="TQA36"/>
      <c r="TQB36"/>
      <c r="TQC36"/>
      <c r="TQD36"/>
      <c r="TQE36"/>
      <c r="TQF36"/>
      <c r="TQG36"/>
      <c r="TQH36"/>
      <c r="TQI36"/>
      <c r="TQJ36"/>
      <c r="TQK36"/>
      <c r="TQL36"/>
      <c r="TQM36"/>
      <c r="TQN36"/>
      <c r="TQO36"/>
      <c r="TQP36"/>
      <c r="TQQ36"/>
      <c r="TQR36"/>
      <c r="TQS36"/>
      <c r="TQT36"/>
      <c r="TQU36"/>
      <c r="TQV36"/>
      <c r="TQW36"/>
      <c r="TQX36"/>
      <c r="TQY36"/>
      <c r="TQZ36"/>
      <c r="TRA36"/>
      <c r="TRB36"/>
      <c r="TRC36"/>
      <c r="TRD36"/>
      <c r="TRE36"/>
      <c r="TRF36"/>
      <c r="TRG36"/>
      <c r="TRH36"/>
      <c r="TRI36"/>
      <c r="TRJ36"/>
      <c r="TRK36"/>
      <c r="TRL36"/>
      <c r="TRM36"/>
      <c r="TRN36"/>
      <c r="TRO36"/>
      <c r="TRP36"/>
      <c r="TRQ36"/>
      <c r="TRR36"/>
      <c r="TRS36"/>
      <c r="TRT36"/>
      <c r="TRU36"/>
      <c r="TRV36"/>
      <c r="TRW36"/>
      <c r="TRX36"/>
      <c r="TRY36"/>
      <c r="TRZ36"/>
      <c r="TSA36"/>
      <c r="TSB36"/>
      <c r="TSC36"/>
      <c r="TSD36"/>
      <c r="TSE36"/>
      <c r="TSF36"/>
      <c r="TSG36"/>
      <c r="TSH36"/>
      <c r="TSI36"/>
      <c r="TSJ36"/>
      <c r="TSK36"/>
      <c r="TSL36"/>
      <c r="TSM36"/>
      <c r="TSN36"/>
      <c r="TSO36"/>
      <c r="TSP36"/>
      <c r="TSQ36"/>
      <c r="TSR36"/>
      <c r="TSS36"/>
      <c r="TST36"/>
      <c r="TSU36"/>
      <c r="TSV36"/>
      <c r="TSW36"/>
      <c r="TSX36"/>
      <c r="TSY36"/>
      <c r="TSZ36"/>
      <c r="TTA36"/>
      <c r="TTB36"/>
      <c r="TTC36"/>
      <c r="TTD36"/>
      <c r="TTE36"/>
      <c r="TTF36"/>
      <c r="TTG36"/>
      <c r="TTH36"/>
      <c r="TTI36"/>
      <c r="TTJ36"/>
      <c r="TTK36"/>
      <c r="TTL36"/>
      <c r="TTM36"/>
      <c r="TTN36"/>
      <c r="TTO36"/>
      <c r="TTP36"/>
      <c r="TTQ36"/>
      <c r="TTR36"/>
      <c r="TTS36"/>
      <c r="TTT36"/>
      <c r="TTU36"/>
      <c r="TTV36"/>
      <c r="TTW36"/>
      <c r="TTX36"/>
      <c r="TTY36"/>
      <c r="TTZ36"/>
      <c r="TUA36"/>
      <c r="TUB36"/>
      <c r="TUC36"/>
      <c r="TUD36"/>
      <c r="TUE36"/>
      <c r="TUF36"/>
      <c r="TUG36"/>
      <c r="TUH36"/>
      <c r="TUI36"/>
      <c r="TUJ36"/>
      <c r="TUK36"/>
      <c r="TUL36"/>
      <c r="TUM36"/>
      <c r="TUN36"/>
      <c r="TUO36"/>
      <c r="TUP36"/>
      <c r="TUQ36"/>
      <c r="TUR36"/>
      <c r="TUS36"/>
      <c r="TUT36"/>
      <c r="TUU36"/>
      <c r="TUV36"/>
      <c r="TUW36"/>
      <c r="TUX36"/>
      <c r="TUY36"/>
      <c r="TUZ36"/>
      <c r="TVA36"/>
      <c r="TVB36"/>
      <c r="TVC36"/>
      <c r="TVD36"/>
      <c r="TVE36"/>
      <c r="TVF36"/>
      <c r="TVG36"/>
      <c r="TVH36"/>
      <c r="TVI36"/>
      <c r="TVJ36"/>
      <c r="TVK36"/>
      <c r="TVL36"/>
      <c r="TVM36"/>
      <c r="TVN36"/>
      <c r="TVO36"/>
      <c r="TVP36"/>
      <c r="TVQ36"/>
      <c r="TVR36"/>
      <c r="TVS36"/>
      <c r="TVT36"/>
      <c r="TVU36"/>
      <c r="TVV36"/>
      <c r="TVW36"/>
      <c r="TVX36"/>
      <c r="TVY36"/>
      <c r="TVZ36"/>
      <c r="TWA36"/>
      <c r="TWB36"/>
      <c r="TWC36"/>
      <c r="TWD36"/>
      <c r="TWE36"/>
      <c r="TWF36"/>
      <c r="TWG36"/>
      <c r="TWH36"/>
      <c r="TWI36"/>
      <c r="TWJ36"/>
      <c r="TWK36"/>
      <c r="TWL36"/>
      <c r="TWM36"/>
      <c r="TWN36"/>
      <c r="TWO36"/>
      <c r="TWP36"/>
      <c r="TWQ36"/>
      <c r="TWR36"/>
      <c r="TWS36"/>
      <c r="TWT36"/>
      <c r="TWU36"/>
      <c r="TWV36"/>
      <c r="TWW36"/>
      <c r="TWX36"/>
      <c r="TWY36"/>
      <c r="TWZ36"/>
      <c r="TXA36"/>
      <c r="TXB36"/>
      <c r="TXC36"/>
      <c r="TXD36"/>
      <c r="TXE36"/>
      <c r="TXF36"/>
      <c r="TXG36"/>
      <c r="TXH36"/>
      <c r="TXI36"/>
      <c r="TXJ36"/>
      <c r="TXK36"/>
      <c r="TXL36"/>
      <c r="TXM36"/>
      <c r="TXN36"/>
      <c r="TXO36"/>
      <c r="TXP36"/>
      <c r="TXQ36"/>
      <c r="TXR36"/>
      <c r="TXS36"/>
      <c r="TXT36"/>
      <c r="TXU36"/>
      <c r="TXV36"/>
      <c r="TXW36"/>
      <c r="TXX36"/>
      <c r="TXY36"/>
      <c r="TXZ36"/>
      <c r="TYA36"/>
      <c r="TYB36"/>
      <c r="TYC36"/>
      <c r="TYD36"/>
      <c r="TYE36"/>
      <c r="TYF36"/>
      <c r="TYG36"/>
      <c r="TYH36"/>
      <c r="TYI36"/>
      <c r="TYJ36"/>
      <c r="TYK36"/>
      <c r="TYL36"/>
      <c r="TYM36"/>
      <c r="TYN36"/>
      <c r="TYO36"/>
      <c r="TYP36"/>
      <c r="TYQ36"/>
      <c r="TYR36"/>
      <c r="TYS36"/>
      <c r="TYT36"/>
      <c r="TYU36"/>
      <c r="TYV36"/>
      <c r="TYW36"/>
      <c r="TYX36"/>
      <c r="TYY36"/>
      <c r="TYZ36"/>
      <c r="TZA36"/>
      <c r="TZB36"/>
      <c r="TZC36"/>
      <c r="TZD36"/>
      <c r="TZE36"/>
      <c r="TZF36"/>
      <c r="TZG36"/>
      <c r="TZH36"/>
      <c r="TZI36"/>
      <c r="TZJ36"/>
      <c r="TZK36"/>
      <c r="TZL36"/>
      <c r="TZM36"/>
      <c r="TZN36"/>
      <c r="TZO36"/>
      <c r="TZP36"/>
      <c r="TZQ36"/>
      <c r="TZR36"/>
      <c r="TZS36"/>
      <c r="TZT36"/>
      <c r="TZU36"/>
      <c r="TZV36"/>
      <c r="TZW36"/>
      <c r="TZX36"/>
      <c r="TZY36"/>
      <c r="TZZ36"/>
      <c r="UAA36"/>
      <c r="UAB36"/>
      <c r="UAC36"/>
      <c r="UAD36"/>
      <c r="UAE36"/>
      <c r="UAF36"/>
      <c r="UAG36"/>
      <c r="UAH36"/>
      <c r="UAI36"/>
      <c r="UAJ36"/>
      <c r="UAK36"/>
      <c r="UAL36"/>
      <c r="UAM36"/>
      <c r="UAN36"/>
      <c r="UAO36"/>
      <c r="UAP36"/>
      <c r="UAQ36"/>
      <c r="UAR36"/>
      <c r="UAS36"/>
      <c r="UAT36"/>
      <c r="UAU36"/>
      <c r="UAV36"/>
      <c r="UAW36"/>
      <c r="UAX36"/>
      <c r="UAY36"/>
      <c r="UAZ36"/>
      <c r="UBA36"/>
      <c r="UBB36"/>
      <c r="UBC36"/>
      <c r="UBD36"/>
      <c r="UBE36"/>
      <c r="UBF36"/>
      <c r="UBG36"/>
      <c r="UBH36"/>
      <c r="UBI36"/>
      <c r="UBJ36"/>
      <c r="UBK36"/>
      <c r="UBL36"/>
      <c r="UBM36"/>
      <c r="UBN36"/>
      <c r="UBO36"/>
      <c r="UBP36"/>
      <c r="UBQ36"/>
      <c r="UBR36"/>
      <c r="UBS36"/>
      <c r="UBT36"/>
      <c r="UBU36"/>
      <c r="UBV36"/>
      <c r="UBW36"/>
      <c r="UBX36"/>
      <c r="UBY36"/>
      <c r="UBZ36"/>
      <c r="UCA36"/>
      <c r="UCB36"/>
      <c r="UCC36"/>
      <c r="UCD36"/>
      <c r="UCE36"/>
      <c r="UCF36"/>
      <c r="UCG36"/>
      <c r="UCH36"/>
      <c r="UCI36"/>
      <c r="UCJ36"/>
      <c r="UCK36"/>
      <c r="UCL36"/>
      <c r="UCM36"/>
      <c r="UCN36"/>
      <c r="UCO36"/>
      <c r="UCP36"/>
      <c r="UCQ36"/>
      <c r="UCR36"/>
      <c r="UCS36"/>
      <c r="UCT36"/>
      <c r="UCU36"/>
      <c r="UCV36"/>
      <c r="UCW36"/>
      <c r="UCX36"/>
      <c r="UCY36"/>
      <c r="UCZ36"/>
      <c r="UDA36"/>
      <c r="UDB36"/>
      <c r="UDC36"/>
      <c r="UDD36"/>
      <c r="UDE36"/>
      <c r="UDF36"/>
      <c r="UDG36"/>
      <c r="UDH36"/>
      <c r="UDI36"/>
      <c r="UDJ36"/>
      <c r="UDK36"/>
      <c r="UDL36"/>
      <c r="UDM36"/>
      <c r="UDN36"/>
      <c r="UDO36"/>
      <c r="UDP36"/>
      <c r="UDQ36"/>
      <c r="UDR36"/>
      <c r="UDS36"/>
      <c r="UDT36"/>
      <c r="UDU36"/>
      <c r="UDV36"/>
      <c r="UDW36"/>
      <c r="UDX36"/>
      <c r="UDY36"/>
      <c r="UDZ36"/>
      <c r="UEA36"/>
      <c r="UEB36"/>
      <c r="UEC36"/>
      <c r="UED36"/>
      <c r="UEE36"/>
      <c r="UEF36"/>
      <c r="UEG36"/>
      <c r="UEH36"/>
      <c r="UEI36"/>
      <c r="UEJ36"/>
      <c r="UEK36"/>
      <c r="UEL36"/>
      <c r="UEM36"/>
      <c r="UEN36"/>
      <c r="UEO36"/>
      <c r="UEP36"/>
      <c r="UEQ36"/>
      <c r="UER36"/>
      <c r="UES36"/>
      <c r="UET36"/>
      <c r="UEU36"/>
      <c r="UEV36"/>
      <c r="UEW36"/>
      <c r="UEX36"/>
      <c r="UEY36"/>
      <c r="UEZ36"/>
      <c r="UFA36"/>
      <c r="UFB36"/>
      <c r="UFC36"/>
      <c r="UFD36"/>
      <c r="UFE36"/>
      <c r="UFF36"/>
      <c r="UFG36"/>
      <c r="UFH36"/>
      <c r="UFI36"/>
      <c r="UFJ36"/>
      <c r="UFK36"/>
      <c r="UFL36"/>
      <c r="UFM36"/>
      <c r="UFN36"/>
      <c r="UFO36"/>
      <c r="UFP36"/>
      <c r="UFQ36"/>
      <c r="UFR36"/>
      <c r="UFS36"/>
      <c r="UFT36"/>
      <c r="UFU36"/>
      <c r="UFV36"/>
      <c r="UFW36"/>
      <c r="UFX36"/>
      <c r="UFY36"/>
      <c r="UFZ36"/>
      <c r="UGA36"/>
      <c r="UGB36"/>
      <c r="UGC36"/>
      <c r="UGD36"/>
      <c r="UGE36"/>
      <c r="UGF36"/>
      <c r="UGG36"/>
      <c r="UGH36"/>
      <c r="UGI36"/>
      <c r="UGJ36"/>
      <c r="UGK36"/>
      <c r="UGL36"/>
      <c r="UGM36"/>
      <c r="UGN36"/>
      <c r="UGO36"/>
      <c r="UGP36"/>
      <c r="UGQ36"/>
      <c r="UGR36"/>
      <c r="UGS36"/>
      <c r="UGT36"/>
      <c r="UGU36"/>
      <c r="UGV36"/>
      <c r="UGW36"/>
      <c r="UGX36"/>
      <c r="UGY36"/>
      <c r="UGZ36"/>
      <c r="UHA36"/>
      <c r="UHB36"/>
      <c r="UHC36"/>
      <c r="UHD36"/>
      <c r="UHE36"/>
      <c r="UHF36"/>
      <c r="UHG36"/>
      <c r="UHH36"/>
      <c r="UHI36"/>
      <c r="UHJ36"/>
      <c r="UHK36"/>
      <c r="UHL36"/>
      <c r="UHM36"/>
      <c r="UHN36"/>
      <c r="UHO36"/>
      <c r="UHP36"/>
      <c r="UHQ36"/>
      <c r="UHR36"/>
      <c r="UHS36"/>
      <c r="UHT36"/>
      <c r="UHU36"/>
      <c r="UHV36"/>
      <c r="UHW36"/>
      <c r="UHX36"/>
      <c r="UHY36"/>
      <c r="UHZ36"/>
      <c r="UIA36"/>
      <c r="UIB36"/>
      <c r="UIC36"/>
      <c r="UID36"/>
      <c r="UIE36"/>
      <c r="UIF36"/>
      <c r="UIG36"/>
      <c r="UIH36"/>
      <c r="UII36"/>
      <c r="UIJ36"/>
      <c r="UIK36"/>
      <c r="UIL36"/>
      <c r="UIM36"/>
      <c r="UIN36"/>
      <c r="UIO36"/>
      <c r="UIP36"/>
      <c r="UIQ36"/>
      <c r="UIR36"/>
      <c r="UIS36"/>
      <c r="UIT36"/>
      <c r="UIU36"/>
      <c r="UIV36"/>
      <c r="UIW36"/>
      <c r="UIX36"/>
      <c r="UIY36"/>
      <c r="UIZ36"/>
      <c r="UJA36"/>
      <c r="UJB36"/>
      <c r="UJC36"/>
      <c r="UJD36"/>
      <c r="UJE36"/>
      <c r="UJF36"/>
      <c r="UJG36"/>
      <c r="UJH36"/>
      <c r="UJI36"/>
      <c r="UJJ36"/>
      <c r="UJK36"/>
      <c r="UJL36"/>
      <c r="UJM36"/>
      <c r="UJN36"/>
      <c r="UJO36"/>
      <c r="UJP36"/>
      <c r="UJQ36"/>
      <c r="UJR36"/>
      <c r="UJS36"/>
      <c r="UJT36"/>
      <c r="UJU36"/>
      <c r="UJV36"/>
      <c r="UJW36"/>
      <c r="UJX36"/>
      <c r="UJY36"/>
      <c r="UJZ36"/>
      <c r="UKA36"/>
      <c r="UKB36"/>
      <c r="UKC36"/>
      <c r="UKD36"/>
      <c r="UKE36"/>
      <c r="UKF36"/>
      <c r="UKG36"/>
      <c r="UKH36"/>
      <c r="UKI36"/>
      <c r="UKJ36"/>
      <c r="UKK36"/>
      <c r="UKL36"/>
      <c r="UKM36"/>
      <c r="UKN36"/>
      <c r="UKO36"/>
      <c r="UKP36"/>
      <c r="UKQ36"/>
      <c r="UKR36"/>
      <c r="UKS36"/>
      <c r="UKT36"/>
      <c r="UKU36"/>
      <c r="UKV36"/>
      <c r="UKW36"/>
      <c r="UKX36"/>
      <c r="UKY36"/>
      <c r="UKZ36"/>
      <c r="ULA36"/>
      <c r="ULB36"/>
      <c r="ULC36"/>
      <c r="ULD36"/>
      <c r="ULE36"/>
      <c r="ULF36"/>
      <c r="ULG36"/>
      <c r="ULH36"/>
      <c r="ULI36"/>
      <c r="ULJ36"/>
      <c r="ULK36"/>
      <c r="ULL36"/>
      <c r="ULM36"/>
      <c r="ULN36"/>
      <c r="ULO36"/>
      <c r="ULP36"/>
      <c r="ULQ36"/>
      <c r="ULR36"/>
      <c r="ULS36"/>
      <c r="ULT36"/>
      <c r="ULU36"/>
      <c r="ULV36"/>
      <c r="ULW36"/>
      <c r="ULX36"/>
      <c r="ULY36"/>
      <c r="ULZ36"/>
      <c r="UMA36"/>
      <c r="UMB36"/>
      <c r="UMC36"/>
      <c r="UMD36"/>
      <c r="UME36"/>
      <c r="UMF36"/>
      <c r="UMG36"/>
      <c r="UMH36"/>
      <c r="UMI36"/>
      <c r="UMJ36"/>
      <c r="UMK36"/>
      <c r="UML36"/>
      <c r="UMM36"/>
      <c r="UMN36"/>
      <c r="UMO36"/>
      <c r="UMP36"/>
      <c r="UMQ36"/>
      <c r="UMR36"/>
      <c r="UMS36"/>
      <c r="UMT36"/>
      <c r="UMU36"/>
      <c r="UMV36"/>
      <c r="UMW36"/>
      <c r="UMX36"/>
      <c r="UMY36"/>
      <c r="UMZ36"/>
      <c r="UNA36"/>
      <c r="UNB36"/>
      <c r="UNC36"/>
      <c r="UND36"/>
      <c r="UNE36"/>
      <c r="UNF36"/>
      <c r="UNG36"/>
      <c r="UNH36"/>
      <c r="UNI36"/>
      <c r="UNJ36"/>
      <c r="UNK36"/>
      <c r="UNL36"/>
      <c r="UNM36"/>
      <c r="UNN36"/>
      <c r="UNO36"/>
      <c r="UNP36"/>
      <c r="UNQ36"/>
      <c r="UNR36"/>
      <c r="UNS36"/>
      <c r="UNT36"/>
      <c r="UNU36"/>
      <c r="UNV36"/>
      <c r="UNW36"/>
      <c r="UNX36"/>
      <c r="UNY36"/>
      <c r="UNZ36"/>
      <c r="UOA36"/>
      <c r="UOB36"/>
      <c r="UOC36"/>
      <c r="UOD36"/>
      <c r="UOE36"/>
      <c r="UOF36"/>
      <c r="UOG36"/>
      <c r="UOH36"/>
      <c r="UOI36"/>
      <c r="UOJ36"/>
      <c r="UOK36"/>
      <c r="UOL36"/>
      <c r="UOM36"/>
      <c r="UON36"/>
      <c r="UOO36"/>
      <c r="UOP36"/>
      <c r="UOQ36"/>
      <c r="UOR36"/>
      <c r="UOS36"/>
      <c r="UOT36"/>
      <c r="UOU36"/>
      <c r="UOV36"/>
      <c r="UOW36"/>
      <c r="UOX36"/>
      <c r="UOY36"/>
      <c r="UOZ36"/>
      <c r="UPA36"/>
      <c r="UPB36"/>
      <c r="UPC36"/>
      <c r="UPD36"/>
      <c r="UPE36"/>
      <c r="UPF36"/>
      <c r="UPG36"/>
      <c r="UPH36"/>
      <c r="UPI36"/>
      <c r="UPJ36"/>
      <c r="UPK36"/>
      <c r="UPL36"/>
      <c r="UPM36"/>
      <c r="UPN36"/>
      <c r="UPO36"/>
      <c r="UPP36"/>
      <c r="UPQ36"/>
      <c r="UPR36"/>
      <c r="UPS36"/>
      <c r="UPT36"/>
      <c r="UPU36"/>
      <c r="UPV36"/>
      <c r="UPW36"/>
      <c r="UPX36"/>
      <c r="UPY36"/>
      <c r="UPZ36"/>
      <c r="UQA36"/>
      <c r="UQB36"/>
      <c r="UQC36"/>
      <c r="UQD36"/>
      <c r="UQE36"/>
      <c r="UQF36"/>
      <c r="UQG36"/>
      <c r="UQH36"/>
      <c r="UQI36"/>
      <c r="UQJ36"/>
      <c r="UQK36"/>
      <c r="UQL36"/>
      <c r="UQM36"/>
      <c r="UQN36"/>
      <c r="UQO36"/>
      <c r="UQP36"/>
      <c r="UQQ36"/>
      <c r="UQR36"/>
      <c r="UQS36"/>
      <c r="UQT36"/>
      <c r="UQU36"/>
      <c r="UQV36"/>
      <c r="UQW36"/>
      <c r="UQX36"/>
      <c r="UQY36"/>
      <c r="UQZ36"/>
      <c r="URA36"/>
      <c r="URB36"/>
      <c r="URC36"/>
      <c r="URD36"/>
      <c r="URE36"/>
      <c r="URF36"/>
      <c r="URG36"/>
      <c r="URH36"/>
      <c r="URI36"/>
      <c r="URJ36"/>
      <c r="URK36"/>
      <c r="URL36"/>
      <c r="URM36"/>
      <c r="URN36"/>
      <c r="URO36"/>
      <c r="URP36"/>
      <c r="URQ36"/>
      <c r="URR36"/>
      <c r="URS36"/>
      <c r="URT36"/>
      <c r="URU36"/>
      <c r="URV36"/>
      <c r="URW36"/>
      <c r="URX36"/>
      <c r="URY36"/>
      <c r="URZ36"/>
      <c r="USA36"/>
      <c r="USB36"/>
      <c r="USC36"/>
      <c r="USD36"/>
      <c r="USE36"/>
      <c r="USF36"/>
      <c r="USG36"/>
      <c r="USH36"/>
      <c r="USI36"/>
      <c r="USJ36"/>
      <c r="USK36"/>
      <c r="USL36"/>
      <c r="USM36"/>
      <c r="USN36"/>
      <c r="USO36"/>
      <c r="USP36"/>
      <c r="USQ36"/>
      <c r="USR36"/>
      <c r="USS36"/>
      <c r="UST36"/>
      <c r="USU36"/>
      <c r="USV36"/>
      <c r="USW36"/>
      <c r="USX36"/>
      <c r="USY36"/>
      <c r="USZ36"/>
      <c r="UTA36"/>
      <c r="UTB36"/>
      <c r="UTC36"/>
      <c r="UTD36"/>
      <c r="UTE36"/>
      <c r="UTF36"/>
      <c r="UTG36"/>
      <c r="UTH36"/>
      <c r="UTI36"/>
      <c r="UTJ36"/>
      <c r="UTK36"/>
      <c r="UTL36"/>
      <c r="UTM36"/>
      <c r="UTN36"/>
      <c r="UTO36"/>
      <c r="UTP36"/>
      <c r="UTQ36"/>
      <c r="UTR36"/>
      <c r="UTS36"/>
      <c r="UTT36"/>
      <c r="UTU36"/>
      <c r="UTV36"/>
      <c r="UTW36"/>
      <c r="UTX36"/>
      <c r="UTY36"/>
      <c r="UTZ36"/>
      <c r="UUA36"/>
      <c r="UUB36"/>
      <c r="UUC36"/>
      <c r="UUD36"/>
      <c r="UUE36"/>
      <c r="UUF36"/>
      <c r="UUG36"/>
      <c r="UUH36"/>
      <c r="UUI36"/>
      <c r="UUJ36"/>
      <c r="UUK36"/>
      <c r="UUL36"/>
      <c r="UUM36"/>
      <c r="UUN36"/>
      <c r="UUO36"/>
      <c r="UUP36"/>
      <c r="UUQ36"/>
      <c r="UUR36"/>
      <c r="UUS36"/>
      <c r="UUT36"/>
      <c r="UUU36"/>
      <c r="UUV36"/>
      <c r="UUW36"/>
      <c r="UUX36"/>
      <c r="UUY36"/>
      <c r="UUZ36"/>
      <c r="UVA36"/>
      <c r="UVB36"/>
      <c r="UVC36"/>
      <c r="UVD36"/>
      <c r="UVE36"/>
      <c r="UVF36"/>
      <c r="UVG36"/>
      <c r="UVH36"/>
      <c r="UVI36"/>
      <c r="UVJ36"/>
      <c r="UVK36"/>
      <c r="UVL36"/>
      <c r="UVM36"/>
      <c r="UVN36"/>
      <c r="UVO36"/>
      <c r="UVP36"/>
      <c r="UVQ36"/>
      <c r="UVR36"/>
      <c r="UVS36"/>
      <c r="UVT36"/>
      <c r="UVU36"/>
      <c r="UVV36"/>
      <c r="UVW36"/>
      <c r="UVX36"/>
      <c r="UVY36"/>
      <c r="UVZ36"/>
      <c r="UWA36"/>
      <c r="UWB36"/>
      <c r="UWC36"/>
      <c r="UWD36"/>
      <c r="UWE36"/>
      <c r="UWF36"/>
      <c r="UWG36"/>
      <c r="UWH36"/>
      <c r="UWI36"/>
      <c r="UWJ36"/>
      <c r="UWK36"/>
      <c r="UWL36"/>
      <c r="UWM36"/>
      <c r="UWN36"/>
      <c r="UWO36"/>
      <c r="UWP36"/>
      <c r="UWQ36"/>
      <c r="UWR36"/>
      <c r="UWS36"/>
      <c r="UWT36"/>
      <c r="UWU36"/>
      <c r="UWV36"/>
      <c r="UWW36"/>
      <c r="UWX36"/>
      <c r="UWY36"/>
      <c r="UWZ36"/>
      <c r="UXA36"/>
      <c r="UXB36"/>
      <c r="UXC36"/>
      <c r="UXD36"/>
      <c r="UXE36"/>
      <c r="UXF36"/>
      <c r="UXG36"/>
      <c r="UXH36"/>
      <c r="UXI36"/>
      <c r="UXJ36"/>
      <c r="UXK36"/>
      <c r="UXL36"/>
      <c r="UXM36"/>
      <c r="UXN36"/>
      <c r="UXO36"/>
      <c r="UXP36"/>
      <c r="UXQ36"/>
      <c r="UXR36"/>
      <c r="UXS36"/>
      <c r="UXT36"/>
      <c r="UXU36"/>
      <c r="UXV36"/>
      <c r="UXW36"/>
      <c r="UXX36"/>
      <c r="UXY36"/>
      <c r="UXZ36"/>
      <c r="UYA36"/>
      <c r="UYB36"/>
      <c r="UYC36"/>
      <c r="UYD36"/>
      <c r="UYE36"/>
      <c r="UYF36"/>
      <c r="UYG36"/>
      <c r="UYH36"/>
      <c r="UYI36"/>
      <c r="UYJ36"/>
      <c r="UYK36"/>
      <c r="UYL36"/>
      <c r="UYM36"/>
      <c r="UYN36"/>
      <c r="UYO36"/>
      <c r="UYP36"/>
      <c r="UYQ36"/>
      <c r="UYR36"/>
      <c r="UYS36"/>
      <c r="UYT36"/>
      <c r="UYU36"/>
      <c r="UYV36"/>
      <c r="UYW36"/>
      <c r="UYX36"/>
      <c r="UYY36"/>
      <c r="UYZ36"/>
      <c r="UZA36"/>
      <c r="UZB36"/>
      <c r="UZC36"/>
      <c r="UZD36"/>
      <c r="UZE36"/>
      <c r="UZF36"/>
      <c r="UZG36"/>
      <c r="UZH36"/>
      <c r="UZI36"/>
      <c r="UZJ36"/>
      <c r="UZK36"/>
      <c r="UZL36"/>
      <c r="UZM36"/>
      <c r="UZN36"/>
      <c r="UZO36"/>
      <c r="UZP36"/>
      <c r="UZQ36"/>
      <c r="UZR36"/>
      <c r="UZS36"/>
      <c r="UZT36"/>
      <c r="UZU36"/>
      <c r="UZV36"/>
      <c r="UZW36"/>
      <c r="UZX36"/>
      <c r="UZY36"/>
      <c r="UZZ36"/>
      <c r="VAA36"/>
      <c r="VAB36"/>
      <c r="VAC36"/>
      <c r="VAD36"/>
      <c r="VAE36"/>
      <c r="VAF36"/>
      <c r="VAG36"/>
      <c r="VAH36"/>
      <c r="VAI36"/>
      <c r="VAJ36"/>
      <c r="VAK36"/>
      <c r="VAL36"/>
      <c r="VAM36"/>
      <c r="VAN36"/>
      <c r="VAO36"/>
      <c r="VAP36"/>
      <c r="VAQ36"/>
      <c r="VAR36"/>
      <c r="VAS36"/>
      <c r="VAT36"/>
      <c r="VAU36"/>
      <c r="VAV36"/>
      <c r="VAW36"/>
      <c r="VAX36"/>
      <c r="VAY36"/>
      <c r="VAZ36"/>
      <c r="VBA36"/>
      <c r="VBB36"/>
      <c r="VBC36"/>
      <c r="VBD36"/>
      <c r="VBE36"/>
      <c r="VBF36"/>
      <c r="VBG36"/>
      <c r="VBH36"/>
      <c r="VBI36"/>
      <c r="VBJ36"/>
      <c r="VBK36"/>
      <c r="VBL36"/>
      <c r="VBM36"/>
      <c r="VBN36"/>
      <c r="VBO36"/>
      <c r="VBP36"/>
      <c r="VBQ36"/>
      <c r="VBR36"/>
      <c r="VBS36"/>
      <c r="VBT36"/>
      <c r="VBU36"/>
      <c r="VBV36"/>
      <c r="VBW36"/>
      <c r="VBX36"/>
      <c r="VBY36"/>
      <c r="VBZ36"/>
      <c r="VCA36"/>
      <c r="VCB36"/>
      <c r="VCC36"/>
      <c r="VCD36"/>
      <c r="VCE36"/>
      <c r="VCF36"/>
      <c r="VCG36"/>
      <c r="VCH36"/>
      <c r="VCI36"/>
      <c r="VCJ36"/>
      <c r="VCK36"/>
      <c r="VCL36"/>
      <c r="VCM36"/>
      <c r="VCN36"/>
      <c r="VCO36"/>
      <c r="VCP36"/>
      <c r="VCQ36"/>
      <c r="VCR36"/>
      <c r="VCS36"/>
      <c r="VCT36"/>
      <c r="VCU36"/>
      <c r="VCV36"/>
      <c r="VCW36"/>
      <c r="VCX36"/>
      <c r="VCY36"/>
      <c r="VCZ36"/>
      <c r="VDA36"/>
      <c r="VDB36"/>
      <c r="VDC36"/>
      <c r="VDD36"/>
      <c r="VDE36"/>
      <c r="VDF36"/>
      <c r="VDG36"/>
      <c r="VDH36"/>
      <c r="VDI36"/>
      <c r="VDJ36"/>
      <c r="VDK36"/>
      <c r="VDL36"/>
      <c r="VDM36"/>
      <c r="VDN36"/>
      <c r="VDO36"/>
      <c r="VDP36"/>
      <c r="VDQ36"/>
      <c r="VDR36"/>
      <c r="VDS36"/>
      <c r="VDT36"/>
      <c r="VDU36"/>
      <c r="VDV36"/>
      <c r="VDW36"/>
      <c r="VDX36"/>
      <c r="VDY36"/>
      <c r="VDZ36"/>
      <c r="VEA36"/>
      <c r="VEB36"/>
      <c r="VEC36"/>
      <c r="VED36"/>
      <c r="VEE36"/>
      <c r="VEF36"/>
      <c r="VEG36"/>
      <c r="VEH36"/>
      <c r="VEI36"/>
      <c r="VEJ36"/>
      <c r="VEK36"/>
      <c r="VEL36"/>
      <c r="VEM36"/>
      <c r="VEN36"/>
      <c r="VEO36"/>
      <c r="VEP36"/>
      <c r="VEQ36"/>
      <c r="VER36"/>
      <c r="VES36"/>
      <c r="VET36"/>
      <c r="VEU36"/>
      <c r="VEV36"/>
      <c r="VEW36"/>
      <c r="VEX36"/>
      <c r="VEY36"/>
      <c r="VEZ36"/>
      <c r="VFA36"/>
      <c r="VFB36"/>
      <c r="VFC36"/>
      <c r="VFD36"/>
      <c r="VFE36"/>
      <c r="VFF36"/>
      <c r="VFG36"/>
      <c r="VFH36"/>
      <c r="VFI36"/>
      <c r="VFJ36"/>
      <c r="VFK36"/>
      <c r="VFL36"/>
      <c r="VFM36"/>
      <c r="VFN36"/>
      <c r="VFO36"/>
      <c r="VFP36"/>
      <c r="VFQ36"/>
      <c r="VFR36"/>
      <c r="VFS36"/>
      <c r="VFT36"/>
      <c r="VFU36"/>
      <c r="VFV36"/>
      <c r="VFW36"/>
      <c r="VFX36"/>
      <c r="VFY36"/>
      <c r="VFZ36"/>
      <c r="VGA36"/>
      <c r="VGB36"/>
      <c r="VGC36"/>
      <c r="VGD36"/>
      <c r="VGE36"/>
      <c r="VGF36"/>
      <c r="VGG36"/>
      <c r="VGH36"/>
      <c r="VGI36"/>
      <c r="VGJ36"/>
      <c r="VGK36"/>
      <c r="VGL36"/>
      <c r="VGM36"/>
      <c r="VGN36"/>
      <c r="VGO36"/>
      <c r="VGP36"/>
      <c r="VGQ36"/>
      <c r="VGR36"/>
      <c r="VGS36"/>
      <c r="VGT36"/>
      <c r="VGU36"/>
      <c r="VGV36"/>
      <c r="VGW36"/>
      <c r="VGX36"/>
      <c r="VGY36"/>
      <c r="VGZ36"/>
      <c r="VHA36"/>
      <c r="VHB36"/>
      <c r="VHC36"/>
      <c r="VHD36"/>
      <c r="VHE36"/>
      <c r="VHF36"/>
      <c r="VHG36"/>
      <c r="VHH36"/>
      <c r="VHI36"/>
      <c r="VHJ36"/>
      <c r="VHK36"/>
      <c r="VHL36"/>
      <c r="VHM36"/>
      <c r="VHN36"/>
      <c r="VHO36"/>
      <c r="VHP36"/>
      <c r="VHQ36"/>
      <c r="VHR36"/>
      <c r="VHS36"/>
      <c r="VHT36"/>
      <c r="VHU36"/>
      <c r="VHV36"/>
      <c r="VHW36"/>
      <c r="VHX36"/>
      <c r="VHY36"/>
      <c r="VHZ36"/>
      <c r="VIA36"/>
      <c r="VIB36"/>
      <c r="VIC36"/>
      <c r="VID36"/>
      <c r="VIE36"/>
      <c r="VIF36"/>
      <c r="VIG36"/>
      <c r="VIH36"/>
      <c r="VII36"/>
      <c r="VIJ36"/>
      <c r="VIK36"/>
      <c r="VIL36"/>
      <c r="VIM36"/>
      <c r="VIN36"/>
      <c r="VIO36"/>
      <c r="VIP36"/>
      <c r="VIQ36"/>
      <c r="VIR36"/>
      <c r="VIS36"/>
      <c r="VIT36"/>
      <c r="VIU36"/>
      <c r="VIV36"/>
      <c r="VIW36"/>
      <c r="VIX36"/>
      <c r="VIY36"/>
      <c r="VIZ36"/>
      <c r="VJA36"/>
      <c r="VJB36"/>
      <c r="VJC36"/>
      <c r="VJD36"/>
      <c r="VJE36"/>
      <c r="VJF36"/>
      <c r="VJG36"/>
      <c r="VJH36"/>
      <c r="VJI36"/>
      <c r="VJJ36"/>
      <c r="VJK36"/>
      <c r="VJL36"/>
      <c r="VJM36"/>
      <c r="VJN36"/>
      <c r="VJO36"/>
      <c r="VJP36"/>
      <c r="VJQ36"/>
      <c r="VJR36"/>
      <c r="VJS36"/>
      <c r="VJT36"/>
      <c r="VJU36"/>
      <c r="VJV36"/>
      <c r="VJW36"/>
      <c r="VJX36"/>
      <c r="VJY36"/>
      <c r="VJZ36"/>
      <c r="VKA36"/>
      <c r="VKB36"/>
      <c r="VKC36"/>
      <c r="VKD36"/>
      <c r="VKE36"/>
      <c r="VKF36"/>
      <c r="VKG36"/>
      <c r="VKH36"/>
      <c r="VKI36"/>
      <c r="VKJ36"/>
      <c r="VKK36"/>
      <c r="VKL36"/>
      <c r="VKM36"/>
      <c r="VKN36"/>
      <c r="VKO36"/>
      <c r="VKP36"/>
      <c r="VKQ36"/>
      <c r="VKR36"/>
      <c r="VKS36"/>
      <c r="VKT36"/>
      <c r="VKU36"/>
      <c r="VKV36"/>
      <c r="VKW36"/>
      <c r="VKX36"/>
      <c r="VKY36"/>
      <c r="VKZ36"/>
      <c r="VLA36"/>
      <c r="VLB36"/>
      <c r="VLC36"/>
      <c r="VLD36"/>
      <c r="VLE36"/>
      <c r="VLF36"/>
      <c r="VLG36"/>
      <c r="VLH36"/>
      <c r="VLI36"/>
      <c r="VLJ36"/>
      <c r="VLK36"/>
      <c r="VLL36"/>
      <c r="VLM36"/>
      <c r="VLN36"/>
      <c r="VLO36"/>
      <c r="VLP36"/>
      <c r="VLQ36"/>
      <c r="VLR36"/>
      <c r="VLS36"/>
      <c r="VLT36"/>
      <c r="VLU36"/>
      <c r="VLV36"/>
      <c r="VLW36"/>
      <c r="VLX36"/>
      <c r="VLY36"/>
      <c r="VLZ36"/>
      <c r="VMA36"/>
      <c r="VMB36"/>
      <c r="VMC36"/>
      <c r="VMD36"/>
      <c r="VME36"/>
      <c r="VMF36"/>
      <c r="VMG36"/>
      <c r="VMH36"/>
      <c r="VMI36"/>
      <c r="VMJ36"/>
      <c r="VMK36"/>
      <c r="VML36"/>
      <c r="VMM36"/>
      <c r="VMN36"/>
      <c r="VMO36"/>
      <c r="VMP36"/>
      <c r="VMQ36"/>
      <c r="VMR36"/>
      <c r="VMS36"/>
      <c r="VMT36"/>
      <c r="VMU36"/>
      <c r="VMV36"/>
      <c r="VMW36"/>
      <c r="VMX36"/>
      <c r="VMY36"/>
      <c r="VMZ36"/>
      <c r="VNA36"/>
      <c r="VNB36"/>
      <c r="VNC36"/>
      <c r="VND36"/>
      <c r="VNE36"/>
      <c r="VNF36"/>
      <c r="VNG36"/>
      <c r="VNH36"/>
      <c r="VNI36"/>
      <c r="VNJ36"/>
      <c r="VNK36"/>
      <c r="VNL36"/>
      <c r="VNM36"/>
      <c r="VNN36"/>
      <c r="VNO36"/>
      <c r="VNP36"/>
      <c r="VNQ36"/>
      <c r="VNR36"/>
      <c r="VNS36"/>
      <c r="VNT36"/>
      <c r="VNU36"/>
      <c r="VNV36"/>
      <c r="VNW36"/>
      <c r="VNX36"/>
      <c r="VNY36"/>
      <c r="VNZ36"/>
      <c r="VOA36"/>
      <c r="VOB36"/>
      <c r="VOC36"/>
      <c r="VOD36"/>
      <c r="VOE36"/>
      <c r="VOF36"/>
      <c r="VOG36"/>
      <c r="VOH36"/>
      <c r="VOI36"/>
      <c r="VOJ36"/>
      <c r="VOK36"/>
      <c r="VOL36"/>
      <c r="VOM36"/>
      <c r="VON36"/>
      <c r="VOO36"/>
      <c r="VOP36"/>
      <c r="VOQ36"/>
      <c r="VOR36"/>
      <c r="VOS36"/>
      <c r="VOT36"/>
      <c r="VOU36"/>
      <c r="VOV36"/>
      <c r="VOW36"/>
      <c r="VOX36"/>
      <c r="VOY36"/>
      <c r="VOZ36"/>
      <c r="VPA36"/>
      <c r="VPB36"/>
      <c r="VPC36"/>
      <c r="VPD36"/>
      <c r="VPE36"/>
      <c r="VPF36"/>
      <c r="VPG36"/>
      <c r="VPH36"/>
      <c r="VPI36"/>
      <c r="VPJ36"/>
      <c r="VPK36"/>
      <c r="VPL36"/>
      <c r="VPM36"/>
      <c r="VPN36"/>
      <c r="VPO36"/>
      <c r="VPP36"/>
      <c r="VPQ36"/>
      <c r="VPR36"/>
      <c r="VPS36"/>
      <c r="VPT36"/>
      <c r="VPU36"/>
      <c r="VPV36"/>
      <c r="VPW36"/>
      <c r="VPX36"/>
      <c r="VPY36"/>
      <c r="VPZ36"/>
      <c r="VQA36"/>
      <c r="VQB36"/>
      <c r="VQC36"/>
      <c r="VQD36"/>
      <c r="VQE36"/>
      <c r="VQF36"/>
      <c r="VQG36"/>
      <c r="VQH36"/>
      <c r="VQI36"/>
      <c r="VQJ36"/>
      <c r="VQK36"/>
      <c r="VQL36"/>
      <c r="VQM36"/>
      <c r="VQN36"/>
      <c r="VQO36"/>
      <c r="VQP36"/>
      <c r="VQQ36"/>
      <c r="VQR36"/>
      <c r="VQS36"/>
      <c r="VQT36"/>
      <c r="VQU36"/>
      <c r="VQV36"/>
      <c r="VQW36"/>
      <c r="VQX36"/>
      <c r="VQY36"/>
      <c r="VQZ36"/>
      <c r="VRA36"/>
      <c r="VRB36"/>
      <c r="VRC36"/>
      <c r="VRD36"/>
      <c r="VRE36"/>
      <c r="VRF36"/>
      <c r="VRG36"/>
      <c r="VRH36"/>
      <c r="VRI36"/>
      <c r="VRJ36"/>
      <c r="VRK36"/>
      <c r="VRL36"/>
      <c r="VRM36"/>
      <c r="VRN36"/>
      <c r="VRO36"/>
      <c r="VRP36"/>
      <c r="VRQ36"/>
      <c r="VRR36"/>
      <c r="VRS36"/>
      <c r="VRT36"/>
      <c r="VRU36"/>
      <c r="VRV36"/>
      <c r="VRW36"/>
      <c r="VRX36"/>
      <c r="VRY36"/>
      <c r="VRZ36"/>
      <c r="VSA36"/>
      <c r="VSB36"/>
      <c r="VSC36"/>
      <c r="VSD36"/>
      <c r="VSE36"/>
      <c r="VSF36"/>
      <c r="VSG36"/>
      <c r="VSH36"/>
      <c r="VSI36"/>
      <c r="VSJ36"/>
      <c r="VSK36"/>
      <c r="VSL36"/>
      <c r="VSM36"/>
      <c r="VSN36"/>
      <c r="VSO36"/>
      <c r="VSP36"/>
      <c r="VSQ36"/>
      <c r="VSR36"/>
      <c r="VSS36"/>
      <c r="VST36"/>
      <c r="VSU36"/>
      <c r="VSV36"/>
      <c r="VSW36"/>
      <c r="VSX36"/>
      <c r="VSY36"/>
      <c r="VSZ36"/>
      <c r="VTA36"/>
      <c r="VTB36"/>
      <c r="VTC36"/>
      <c r="VTD36"/>
      <c r="VTE36"/>
      <c r="VTF36"/>
      <c r="VTG36"/>
      <c r="VTH36"/>
      <c r="VTI36"/>
      <c r="VTJ36"/>
      <c r="VTK36"/>
      <c r="VTL36"/>
      <c r="VTM36"/>
      <c r="VTN36"/>
      <c r="VTO36"/>
      <c r="VTP36"/>
      <c r="VTQ36"/>
      <c r="VTR36"/>
      <c r="VTS36"/>
      <c r="VTT36"/>
      <c r="VTU36"/>
      <c r="VTV36"/>
      <c r="VTW36"/>
      <c r="VTX36"/>
      <c r="VTY36"/>
      <c r="VTZ36"/>
      <c r="VUA36"/>
      <c r="VUB36"/>
      <c r="VUC36"/>
      <c r="VUD36"/>
      <c r="VUE36"/>
      <c r="VUF36"/>
      <c r="VUG36"/>
      <c r="VUH36"/>
      <c r="VUI36"/>
      <c r="VUJ36"/>
      <c r="VUK36"/>
      <c r="VUL36"/>
      <c r="VUM36"/>
      <c r="VUN36"/>
      <c r="VUO36"/>
      <c r="VUP36"/>
      <c r="VUQ36"/>
      <c r="VUR36"/>
      <c r="VUS36"/>
      <c r="VUT36"/>
      <c r="VUU36"/>
      <c r="VUV36"/>
      <c r="VUW36"/>
      <c r="VUX36"/>
      <c r="VUY36"/>
      <c r="VUZ36"/>
      <c r="VVA36"/>
      <c r="VVB36"/>
      <c r="VVC36"/>
      <c r="VVD36"/>
      <c r="VVE36"/>
      <c r="VVF36"/>
      <c r="VVG36"/>
      <c r="VVH36"/>
      <c r="VVI36"/>
      <c r="VVJ36"/>
      <c r="VVK36"/>
      <c r="VVL36"/>
      <c r="VVM36"/>
      <c r="VVN36"/>
      <c r="VVO36"/>
      <c r="VVP36"/>
      <c r="VVQ36"/>
      <c r="VVR36"/>
      <c r="VVS36"/>
      <c r="VVT36"/>
      <c r="VVU36"/>
      <c r="VVV36"/>
      <c r="VVW36"/>
      <c r="VVX36"/>
      <c r="VVY36"/>
      <c r="VVZ36"/>
      <c r="VWA36"/>
      <c r="VWB36"/>
      <c r="VWC36"/>
      <c r="VWD36"/>
      <c r="VWE36"/>
      <c r="VWF36"/>
      <c r="VWG36"/>
      <c r="VWH36"/>
      <c r="VWI36"/>
      <c r="VWJ36"/>
      <c r="VWK36"/>
      <c r="VWL36"/>
      <c r="VWM36"/>
      <c r="VWN36"/>
      <c r="VWO36"/>
      <c r="VWP36"/>
      <c r="VWQ36"/>
      <c r="VWR36"/>
      <c r="VWS36"/>
      <c r="VWT36"/>
      <c r="VWU36"/>
      <c r="VWV36"/>
      <c r="VWW36"/>
      <c r="VWX36"/>
      <c r="VWY36"/>
      <c r="VWZ36"/>
      <c r="VXA36"/>
      <c r="VXB36"/>
      <c r="VXC36"/>
      <c r="VXD36"/>
      <c r="VXE36"/>
      <c r="VXF36"/>
      <c r="VXG36"/>
      <c r="VXH36"/>
      <c r="VXI36"/>
      <c r="VXJ36"/>
      <c r="VXK36"/>
      <c r="VXL36"/>
      <c r="VXM36"/>
      <c r="VXN36"/>
      <c r="VXO36"/>
      <c r="VXP36"/>
      <c r="VXQ36"/>
      <c r="VXR36"/>
      <c r="VXS36"/>
      <c r="VXT36"/>
      <c r="VXU36"/>
      <c r="VXV36"/>
      <c r="VXW36"/>
      <c r="VXX36"/>
      <c r="VXY36"/>
      <c r="VXZ36"/>
      <c r="VYA36"/>
      <c r="VYB36"/>
      <c r="VYC36"/>
      <c r="VYD36"/>
      <c r="VYE36"/>
      <c r="VYF36"/>
      <c r="VYG36"/>
      <c r="VYH36"/>
      <c r="VYI36"/>
      <c r="VYJ36"/>
      <c r="VYK36"/>
      <c r="VYL36"/>
      <c r="VYM36"/>
      <c r="VYN36"/>
      <c r="VYO36"/>
      <c r="VYP36"/>
      <c r="VYQ36"/>
      <c r="VYR36"/>
      <c r="VYS36"/>
      <c r="VYT36"/>
      <c r="VYU36"/>
      <c r="VYV36"/>
      <c r="VYW36"/>
      <c r="VYX36"/>
      <c r="VYY36"/>
      <c r="VYZ36"/>
      <c r="VZA36"/>
      <c r="VZB36"/>
      <c r="VZC36"/>
      <c r="VZD36"/>
      <c r="VZE36"/>
      <c r="VZF36"/>
      <c r="VZG36"/>
      <c r="VZH36"/>
      <c r="VZI36"/>
      <c r="VZJ36"/>
      <c r="VZK36"/>
      <c r="VZL36"/>
      <c r="VZM36"/>
      <c r="VZN36"/>
      <c r="VZO36"/>
      <c r="VZP36"/>
      <c r="VZQ36"/>
      <c r="VZR36"/>
      <c r="VZS36"/>
      <c r="VZT36"/>
      <c r="VZU36"/>
      <c r="VZV36"/>
      <c r="VZW36"/>
      <c r="VZX36"/>
      <c r="VZY36"/>
      <c r="VZZ36"/>
      <c r="WAA36"/>
      <c r="WAB36"/>
      <c r="WAC36"/>
      <c r="WAD36"/>
      <c r="WAE36"/>
      <c r="WAF36"/>
      <c r="WAG36"/>
      <c r="WAH36"/>
      <c r="WAI36"/>
      <c r="WAJ36"/>
      <c r="WAK36"/>
      <c r="WAL36"/>
      <c r="WAM36"/>
      <c r="WAN36"/>
      <c r="WAO36"/>
      <c r="WAP36"/>
      <c r="WAQ36"/>
      <c r="WAR36"/>
      <c r="WAS36"/>
      <c r="WAT36"/>
      <c r="WAU36"/>
      <c r="WAV36"/>
      <c r="WAW36"/>
      <c r="WAX36"/>
      <c r="WAY36"/>
      <c r="WAZ36"/>
      <c r="WBA36"/>
      <c r="WBB36"/>
      <c r="WBC36"/>
      <c r="WBD36"/>
      <c r="WBE36"/>
      <c r="WBF36"/>
      <c r="WBG36"/>
      <c r="WBH36"/>
      <c r="WBI36"/>
      <c r="WBJ36"/>
      <c r="WBK36"/>
      <c r="WBL36"/>
      <c r="WBM36"/>
      <c r="WBN36"/>
      <c r="WBO36"/>
      <c r="WBP36"/>
      <c r="WBQ36"/>
      <c r="WBR36"/>
      <c r="WBS36"/>
      <c r="WBT36"/>
      <c r="WBU36"/>
      <c r="WBV36"/>
      <c r="WBW36"/>
      <c r="WBX36"/>
      <c r="WBY36"/>
      <c r="WBZ36"/>
      <c r="WCA36"/>
      <c r="WCB36"/>
      <c r="WCC36"/>
      <c r="WCD36"/>
      <c r="WCE36"/>
      <c r="WCF36"/>
      <c r="WCG36"/>
      <c r="WCH36"/>
      <c r="WCI36"/>
      <c r="WCJ36"/>
      <c r="WCK36"/>
      <c r="WCL36"/>
      <c r="WCM36"/>
      <c r="WCN36"/>
      <c r="WCO36"/>
      <c r="WCP36"/>
      <c r="WCQ36"/>
      <c r="WCR36"/>
      <c r="WCS36"/>
      <c r="WCT36"/>
      <c r="WCU36"/>
      <c r="WCV36"/>
      <c r="WCW36"/>
      <c r="WCX36"/>
      <c r="WCY36"/>
      <c r="WCZ36"/>
      <c r="WDA36"/>
      <c r="WDB36"/>
      <c r="WDC36"/>
      <c r="WDD36"/>
      <c r="WDE36"/>
      <c r="WDF36"/>
      <c r="WDG36"/>
      <c r="WDH36"/>
      <c r="WDI36"/>
      <c r="WDJ36"/>
      <c r="WDK36"/>
      <c r="WDL36"/>
      <c r="WDM36"/>
      <c r="WDN36"/>
      <c r="WDO36"/>
      <c r="WDP36"/>
      <c r="WDQ36"/>
      <c r="WDR36"/>
      <c r="WDS36"/>
      <c r="WDT36"/>
      <c r="WDU36"/>
      <c r="WDV36"/>
      <c r="WDW36"/>
      <c r="WDX36"/>
      <c r="WDY36"/>
      <c r="WDZ36"/>
      <c r="WEA36"/>
      <c r="WEB36"/>
      <c r="WEC36"/>
      <c r="WED36"/>
      <c r="WEE36"/>
      <c r="WEF36"/>
      <c r="WEG36"/>
      <c r="WEH36"/>
      <c r="WEI36"/>
      <c r="WEJ36"/>
      <c r="WEK36"/>
      <c r="WEL36"/>
      <c r="WEM36"/>
      <c r="WEN36"/>
      <c r="WEO36"/>
      <c r="WEP36"/>
      <c r="WEQ36"/>
      <c r="WER36"/>
      <c r="WES36"/>
      <c r="WET36"/>
      <c r="WEU36"/>
      <c r="WEV36"/>
      <c r="WEW36"/>
      <c r="WEX36"/>
      <c r="WEY36"/>
      <c r="WEZ36"/>
      <c r="WFA36"/>
      <c r="WFB36"/>
      <c r="WFC36"/>
      <c r="WFD36"/>
      <c r="WFE36"/>
      <c r="WFF36"/>
      <c r="WFG36"/>
      <c r="WFH36"/>
      <c r="WFI36"/>
      <c r="WFJ36"/>
      <c r="WFK36"/>
      <c r="WFL36"/>
      <c r="WFM36"/>
      <c r="WFN36"/>
      <c r="WFO36"/>
      <c r="WFP36"/>
      <c r="WFQ36"/>
      <c r="WFR36"/>
      <c r="WFS36"/>
      <c r="WFT36"/>
      <c r="WFU36"/>
      <c r="WFV36"/>
      <c r="WFW36"/>
      <c r="WFX36"/>
      <c r="WFY36"/>
      <c r="WFZ36"/>
      <c r="WGA36"/>
      <c r="WGB36"/>
      <c r="WGC36"/>
      <c r="WGD36"/>
      <c r="WGE36"/>
      <c r="WGF36"/>
      <c r="WGG36"/>
      <c r="WGH36"/>
      <c r="WGI36"/>
      <c r="WGJ36"/>
      <c r="WGK36"/>
      <c r="WGL36"/>
      <c r="WGM36"/>
      <c r="WGN36"/>
      <c r="WGO36"/>
      <c r="WGP36"/>
      <c r="WGQ36"/>
      <c r="WGR36"/>
      <c r="WGS36"/>
      <c r="WGT36"/>
      <c r="WGU36"/>
      <c r="WGV36"/>
      <c r="WGW36"/>
      <c r="WGX36"/>
      <c r="WGY36"/>
      <c r="WGZ36"/>
      <c r="WHA36"/>
      <c r="WHB36"/>
      <c r="WHC36"/>
      <c r="WHD36"/>
      <c r="WHE36"/>
      <c r="WHF36"/>
      <c r="WHG36"/>
      <c r="WHH36"/>
      <c r="WHI36"/>
      <c r="WHJ36"/>
      <c r="WHK36"/>
      <c r="WHL36"/>
      <c r="WHM36"/>
      <c r="WHN36"/>
      <c r="WHO36"/>
      <c r="WHP36"/>
      <c r="WHQ36"/>
      <c r="WHR36"/>
      <c r="WHS36"/>
      <c r="WHT36"/>
      <c r="WHU36"/>
      <c r="WHV36"/>
      <c r="WHW36"/>
      <c r="WHX36"/>
      <c r="WHY36"/>
      <c r="WHZ36"/>
      <c r="WIA36"/>
      <c r="WIB36"/>
      <c r="WIC36"/>
      <c r="WID36"/>
      <c r="WIE36"/>
      <c r="WIF36"/>
      <c r="WIG36"/>
      <c r="WIH36"/>
      <c r="WII36"/>
      <c r="WIJ36"/>
      <c r="WIK36"/>
      <c r="WIL36"/>
      <c r="WIM36"/>
      <c r="WIN36"/>
      <c r="WIO36"/>
      <c r="WIP36"/>
      <c r="WIQ36"/>
      <c r="WIR36"/>
      <c r="WIS36"/>
      <c r="WIT36"/>
      <c r="WIU36"/>
      <c r="WIV36"/>
      <c r="WIW36"/>
      <c r="WIX36"/>
      <c r="WIY36"/>
      <c r="WIZ36"/>
      <c r="WJA36"/>
      <c r="WJB36"/>
      <c r="WJC36"/>
      <c r="WJD36"/>
      <c r="WJE36"/>
      <c r="WJF36"/>
      <c r="WJG36"/>
      <c r="WJH36"/>
      <c r="WJI36"/>
      <c r="WJJ36"/>
      <c r="WJK36"/>
      <c r="WJL36"/>
      <c r="WJM36"/>
      <c r="WJN36"/>
      <c r="WJO36"/>
      <c r="WJP36"/>
      <c r="WJQ36"/>
      <c r="WJR36"/>
      <c r="WJS36"/>
      <c r="WJT36"/>
      <c r="WJU36"/>
      <c r="WJV36"/>
      <c r="WJW36"/>
      <c r="WJX36"/>
      <c r="WJY36"/>
      <c r="WJZ36"/>
      <c r="WKA36"/>
      <c r="WKB36"/>
      <c r="WKC36"/>
      <c r="WKD36"/>
      <c r="WKE36"/>
      <c r="WKF36"/>
      <c r="WKG36"/>
      <c r="WKH36"/>
      <c r="WKI36"/>
      <c r="WKJ36"/>
      <c r="WKK36"/>
      <c r="WKL36"/>
      <c r="WKM36"/>
      <c r="WKN36"/>
      <c r="WKO36"/>
      <c r="WKP36"/>
      <c r="WKQ36"/>
      <c r="WKR36"/>
      <c r="WKS36"/>
      <c r="WKT36"/>
      <c r="WKU36"/>
      <c r="WKV36"/>
      <c r="WKW36"/>
      <c r="WKX36"/>
      <c r="WKY36"/>
      <c r="WKZ36"/>
      <c r="WLA36"/>
      <c r="WLB36"/>
      <c r="WLC36"/>
      <c r="WLD36"/>
      <c r="WLE36"/>
      <c r="WLF36"/>
      <c r="WLG36"/>
      <c r="WLH36"/>
      <c r="WLI36" s="32"/>
      <c r="WLJ36" s="33"/>
      <c r="WLK36" s="32"/>
      <c r="WLL36" s="33"/>
      <c r="WLM36" s="34"/>
      <c r="WLN36" s="32"/>
      <c r="WLO36"/>
    </row>
    <row r="37" spans="1:15875">
      <c r="A37" s="32" t="s">
        <v>121</v>
      </c>
      <c r="B37" s="33" t="str">
        <f>LEFT(A37,2)</f>
        <v>20</v>
      </c>
      <c r="C37" s="32" t="s">
        <v>67</v>
      </c>
      <c r="D37" s="33" t="s">
        <v>116</v>
      </c>
      <c r="E37" s="34" t="s">
        <v>117</v>
      </c>
      <c r="F37" s="236" t="s">
        <v>118</v>
      </c>
      <c r="G37" s="230" t="s">
        <v>122</v>
      </c>
      <c r="H37" s="32" t="s">
        <v>92</v>
      </c>
      <c r="K37" s="502"/>
      <c r="L37" s="35">
        <v>15.15</v>
      </c>
      <c r="M37" s="35">
        <v>15.8</v>
      </c>
      <c r="N37" s="358"/>
      <c r="O37" s="206" t="s">
        <v>41</v>
      </c>
      <c r="P37" s="36">
        <f>M37-L37+W37</f>
        <v>1.0500000000000003</v>
      </c>
      <c r="Q37" s="77">
        <f t="shared" si="4"/>
        <v>6.9306930693069327E-2</v>
      </c>
      <c r="R37" s="77"/>
      <c r="S37" s="77"/>
      <c r="T37" s="77"/>
      <c r="U37" s="399" t="s">
        <v>27</v>
      </c>
      <c r="V37" s="192"/>
      <c r="W37" s="388">
        <v>0.4</v>
      </c>
      <c r="X37" s="513"/>
    </row>
    <row r="38" spans="1:15875">
      <c r="A38" s="32" t="s">
        <v>123</v>
      </c>
      <c r="B38" s="33">
        <v>120</v>
      </c>
      <c r="C38" s="32" t="s">
        <v>36</v>
      </c>
      <c r="D38" s="33" t="s">
        <v>116</v>
      </c>
      <c r="E38" s="34" t="s">
        <v>117</v>
      </c>
      <c r="F38" s="236" t="s">
        <v>118</v>
      </c>
      <c r="G38" s="230" t="s">
        <v>124</v>
      </c>
      <c r="H38" s="32"/>
      <c r="K38" s="502"/>
      <c r="L38" s="35">
        <v>17.899999999999999</v>
      </c>
      <c r="M38" s="35">
        <v>19.29</v>
      </c>
      <c r="N38" s="358"/>
      <c r="O38" s="206" t="s">
        <v>41</v>
      </c>
      <c r="P38" s="36">
        <f>M38-L38+W38</f>
        <v>1.7900000000000005</v>
      </c>
      <c r="Q38" s="77">
        <f t="shared" si="4"/>
        <v>0.10000000000000003</v>
      </c>
      <c r="R38" s="77"/>
      <c r="S38" s="77"/>
      <c r="T38" s="77"/>
      <c r="U38" s="399" t="s">
        <v>27</v>
      </c>
      <c r="V38" s="192"/>
      <c r="W38" s="388">
        <v>0.4</v>
      </c>
      <c r="X38" s="513"/>
    </row>
    <row r="39" spans="1:15875">
      <c r="A39" s="32" t="s">
        <v>125</v>
      </c>
      <c r="B39" s="33" t="s">
        <v>126</v>
      </c>
      <c r="C39" s="32" t="s">
        <v>67</v>
      </c>
      <c r="D39" s="33" t="s">
        <v>116</v>
      </c>
      <c r="E39" s="34" t="s">
        <v>117</v>
      </c>
      <c r="F39" s="236" t="s">
        <v>118</v>
      </c>
      <c r="G39" s="230" t="s">
        <v>124</v>
      </c>
      <c r="H39" s="32" t="s">
        <v>92</v>
      </c>
      <c r="K39" s="502"/>
      <c r="L39" s="35">
        <f>17.9+0.5</f>
        <v>18.399999999999999</v>
      </c>
      <c r="M39" s="35">
        <v>19.29</v>
      </c>
      <c r="N39" s="358"/>
      <c r="O39" s="206" t="s">
        <v>41</v>
      </c>
      <c r="P39" s="36">
        <f>M39-L39+W39</f>
        <v>1.2900000000000005</v>
      </c>
      <c r="Q39" s="77">
        <f t="shared" si="4"/>
        <v>7.0108695652173939E-2</v>
      </c>
      <c r="R39" s="77"/>
      <c r="S39" s="77"/>
      <c r="T39" s="77"/>
      <c r="U39" s="399" t="s">
        <v>27</v>
      </c>
      <c r="V39" s="192"/>
      <c r="W39" s="388">
        <v>0.4</v>
      </c>
      <c r="X39" s="513"/>
    </row>
    <row r="40" spans="1:15875">
      <c r="A40" s="32" t="s">
        <v>127</v>
      </c>
      <c r="B40" s="33">
        <v>80</v>
      </c>
      <c r="C40" s="32" t="s">
        <v>30</v>
      </c>
      <c r="D40" s="33">
        <v>1006</v>
      </c>
      <c r="E40" s="34" t="s">
        <v>117</v>
      </c>
      <c r="F40" s="236" t="s">
        <v>118</v>
      </c>
      <c r="G40" s="230" t="s">
        <v>128</v>
      </c>
      <c r="H40" s="32"/>
      <c r="K40" s="502"/>
      <c r="L40" s="35">
        <v>19.25</v>
      </c>
      <c r="M40" s="35">
        <f>L40+0.9</f>
        <v>20.149999999999999</v>
      </c>
      <c r="N40" s="358"/>
      <c r="O40" s="206" t="s">
        <v>41</v>
      </c>
      <c r="P40" s="36">
        <f>M40-L40</f>
        <v>0.89999999999999858</v>
      </c>
      <c r="Q40" s="77">
        <f t="shared" si="4"/>
        <v>4.6753246753246679E-2</v>
      </c>
      <c r="R40" s="77"/>
      <c r="S40" s="77"/>
      <c r="T40" s="77"/>
      <c r="U40" s="399" t="s">
        <v>27</v>
      </c>
      <c r="V40" s="192"/>
      <c r="W40" s="388"/>
      <c r="X40" s="513"/>
    </row>
    <row r="41" spans="1:15875">
      <c r="A41" s="32" t="s">
        <v>129</v>
      </c>
      <c r="B41" s="33" t="str">
        <f>LEFT(A41,2)</f>
        <v>40</v>
      </c>
      <c r="C41" s="32" t="s">
        <v>130</v>
      </c>
      <c r="D41" s="33">
        <v>1006</v>
      </c>
      <c r="E41" s="34" t="s">
        <v>117</v>
      </c>
      <c r="F41" s="236" t="s">
        <v>118</v>
      </c>
      <c r="G41" s="230" t="s">
        <v>131</v>
      </c>
      <c r="H41" s="32"/>
      <c r="K41" s="497" t="s">
        <v>32</v>
      </c>
      <c r="L41" s="35">
        <v>18.239999999999998</v>
      </c>
      <c r="M41" s="35">
        <v>18.940000000000001</v>
      </c>
      <c r="N41" s="358"/>
      <c r="O41" s="206" t="s">
        <v>41</v>
      </c>
      <c r="P41" s="36">
        <f>M41-L41</f>
        <v>0.70000000000000284</v>
      </c>
      <c r="Q41" s="77">
        <f t="shared" si="4"/>
        <v>3.8377192982456301E-2</v>
      </c>
      <c r="R41" s="77"/>
      <c r="S41" s="77"/>
      <c r="T41" s="77"/>
      <c r="U41" s="399" t="s">
        <v>27</v>
      </c>
      <c r="V41" s="192"/>
      <c r="W41" s="388"/>
      <c r="X41" s="513"/>
    </row>
    <row r="42" spans="1:15875" ht="15" customHeight="1">
      <c r="A42" s="32" t="s">
        <v>132</v>
      </c>
      <c r="B42" s="33" t="str">
        <f>LEFT(A42,2)</f>
        <v>40</v>
      </c>
      <c r="C42" s="32" t="s">
        <v>130</v>
      </c>
      <c r="D42" s="33">
        <v>1006</v>
      </c>
      <c r="E42" s="34" t="s">
        <v>117</v>
      </c>
      <c r="F42" s="236" t="s">
        <v>118</v>
      </c>
      <c r="G42" s="230" t="s">
        <v>133</v>
      </c>
      <c r="H42" s="32"/>
      <c r="K42" s="497" t="s">
        <v>32</v>
      </c>
      <c r="L42" s="35">
        <v>17.59</v>
      </c>
      <c r="M42" s="35">
        <v>18.29</v>
      </c>
      <c r="N42" s="358"/>
      <c r="O42" s="206" t="s">
        <v>41</v>
      </c>
      <c r="P42" s="36">
        <f>M42-L42</f>
        <v>0.69999999999999929</v>
      </c>
      <c r="Q42" s="77">
        <f t="shared" si="4"/>
        <v>3.9795338260375172E-2</v>
      </c>
      <c r="R42" s="77"/>
      <c r="S42" s="77"/>
      <c r="T42" s="77"/>
      <c r="U42" s="399" t="s">
        <v>27</v>
      </c>
      <c r="V42" s="192"/>
      <c r="W42" s="388"/>
      <c r="X42" s="513"/>
    </row>
    <row r="43" spans="1:15875" ht="15" customHeight="1">
      <c r="A43" s="32" t="s">
        <v>134</v>
      </c>
      <c r="B43" s="33" t="str">
        <f>LEFT(A43,2)</f>
        <v>80</v>
      </c>
      <c r="C43" s="32" t="s">
        <v>30</v>
      </c>
      <c r="D43" s="33" t="s">
        <v>116</v>
      </c>
      <c r="E43" s="34" t="s">
        <v>117</v>
      </c>
      <c r="F43" s="236" t="s">
        <v>118</v>
      </c>
      <c r="G43" s="230" t="s">
        <v>135</v>
      </c>
      <c r="H43" s="32"/>
      <c r="K43" s="497" t="s">
        <v>32</v>
      </c>
      <c r="L43" s="35">
        <v>14.9</v>
      </c>
      <c r="M43" s="35">
        <v>15.6</v>
      </c>
      <c r="N43" s="358"/>
      <c r="O43" s="206" t="s">
        <v>41</v>
      </c>
      <c r="P43" s="36">
        <f>M43-L43+W43</f>
        <v>0.79999999999999927</v>
      </c>
      <c r="Q43" s="77">
        <f t="shared" si="4"/>
        <v>5.3691275167785185E-2</v>
      </c>
      <c r="R43" s="77"/>
      <c r="S43" s="77"/>
      <c r="T43" s="77"/>
      <c r="U43" s="399" t="s">
        <v>27</v>
      </c>
      <c r="V43" s="192"/>
      <c r="W43" s="388">
        <v>0.1</v>
      </c>
      <c r="X43" s="513"/>
    </row>
    <row r="44" spans="1:15875">
      <c r="A44" s="32" t="s">
        <v>136</v>
      </c>
      <c r="B44" s="33" t="str">
        <f>LEFT(A44,2)</f>
        <v>80</v>
      </c>
      <c r="C44" s="32" t="s">
        <v>30</v>
      </c>
      <c r="D44" s="33" t="s">
        <v>116</v>
      </c>
      <c r="E44" s="34" t="s">
        <v>117</v>
      </c>
      <c r="F44" s="236" t="s">
        <v>118</v>
      </c>
      <c r="G44" s="230" t="s">
        <v>137</v>
      </c>
      <c r="H44" s="32"/>
      <c r="K44" s="497" t="s">
        <v>32</v>
      </c>
      <c r="L44" s="35">
        <v>16.2</v>
      </c>
      <c r="M44" s="35">
        <v>17.03</v>
      </c>
      <c r="N44" s="358"/>
      <c r="O44" s="206" t="s">
        <v>41</v>
      </c>
      <c r="P44" s="36">
        <f>M44-L44+W44</f>
        <v>0.93000000000000183</v>
      </c>
      <c r="Q44" s="77">
        <f t="shared" si="4"/>
        <v>5.7407407407407525E-2</v>
      </c>
      <c r="R44" s="77"/>
      <c r="S44" s="77"/>
      <c r="T44" s="77"/>
      <c r="U44" s="399" t="s">
        <v>27</v>
      </c>
      <c r="V44" s="192"/>
      <c r="W44" s="388">
        <v>0.1</v>
      </c>
      <c r="X44" s="513"/>
    </row>
    <row r="45" spans="1:15875">
      <c r="A45" s="32" t="s">
        <v>138</v>
      </c>
      <c r="B45" s="33">
        <v>80</v>
      </c>
      <c r="C45" s="32" t="s">
        <v>30</v>
      </c>
      <c r="D45" s="33" t="s">
        <v>116</v>
      </c>
      <c r="E45" s="34" t="s">
        <v>117</v>
      </c>
      <c r="F45" s="236" t="s">
        <v>118</v>
      </c>
      <c r="G45" s="230" t="s">
        <v>139</v>
      </c>
      <c r="H45" s="32"/>
      <c r="K45" s="497" t="s">
        <v>32</v>
      </c>
      <c r="L45" s="35">
        <v>14.6</v>
      </c>
      <c r="M45" s="35">
        <v>15.4</v>
      </c>
      <c r="N45" s="358"/>
      <c r="O45" s="206" t="s">
        <v>41</v>
      </c>
      <c r="P45" s="36">
        <f>M45-L45+W45</f>
        <v>0.90000000000000069</v>
      </c>
      <c r="Q45" s="77">
        <f t="shared" si="4"/>
        <v>6.1643835616438408E-2</v>
      </c>
      <c r="R45" s="77"/>
      <c r="S45" s="77"/>
      <c r="T45" s="77"/>
      <c r="U45" s="399" t="s">
        <v>27</v>
      </c>
      <c r="V45" s="192"/>
      <c r="W45" s="388">
        <v>0.1</v>
      </c>
      <c r="X45" s="514"/>
    </row>
    <row r="46" spans="1:15875">
      <c r="A46" s="32" t="s">
        <v>140</v>
      </c>
      <c r="B46" s="33">
        <v>80</v>
      </c>
      <c r="C46" s="32" t="s">
        <v>30</v>
      </c>
      <c r="D46" s="33" t="s">
        <v>116</v>
      </c>
      <c r="E46" s="34" t="s">
        <v>117</v>
      </c>
      <c r="F46" s="236" t="s">
        <v>118</v>
      </c>
      <c r="G46" s="230" t="s">
        <v>141</v>
      </c>
      <c r="H46" s="32"/>
      <c r="K46" s="497" t="s">
        <v>32</v>
      </c>
      <c r="L46" s="35">
        <v>14.5</v>
      </c>
      <c r="M46" s="35">
        <v>15.3</v>
      </c>
      <c r="N46" s="358"/>
      <c r="O46" s="206" t="s">
        <v>41</v>
      </c>
      <c r="P46" s="36">
        <f>M46-L46+W46</f>
        <v>0.90000000000000069</v>
      </c>
      <c r="Q46" s="77">
        <f t="shared" si="4"/>
        <v>6.2068965517241427E-2</v>
      </c>
      <c r="R46" s="77"/>
      <c r="S46" s="77"/>
      <c r="T46" s="77"/>
      <c r="U46" s="399" t="s">
        <v>27</v>
      </c>
      <c r="V46" s="192"/>
      <c r="W46" s="388">
        <v>0.1</v>
      </c>
      <c r="X46" s="513"/>
    </row>
    <row r="47" spans="1:15875">
      <c r="A47" s="32" t="s">
        <v>142</v>
      </c>
      <c r="B47" s="33">
        <v>80</v>
      </c>
      <c r="C47" s="32" t="s">
        <v>30</v>
      </c>
      <c r="D47" s="33" t="s">
        <v>116</v>
      </c>
      <c r="E47" s="34" t="s">
        <v>117</v>
      </c>
      <c r="F47" s="236" t="s">
        <v>118</v>
      </c>
      <c r="G47" s="230" t="s">
        <v>143</v>
      </c>
      <c r="H47" s="32"/>
      <c r="K47" s="497" t="s">
        <v>32</v>
      </c>
      <c r="L47" s="35">
        <v>16.5</v>
      </c>
      <c r="M47" s="35">
        <v>17.3</v>
      </c>
      <c r="N47" s="358"/>
      <c r="O47" s="206" t="s">
        <v>41</v>
      </c>
      <c r="P47" s="36">
        <f>M47-L47+W47</f>
        <v>0.90000000000000069</v>
      </c>
      <c r="Q47" s="77">
        <f t="shared" si="4"/>
        <v>5.4545454545454584E-2</v>
      </c>
      <c r="R47" s="77"/>
      <c r="S47" s="77"/>
      <c r="T47" s="77"/>
      <c r="U47" s="399" t="s">
        <v>27</v>
      </c>
      <c r="V47" s="192"/>
      <c r="W47" s="388">
        <v>0.1</v>
      </c>
      <c r="X47" s="513"/>
    </row>
    <row r="48" spans="1:15875">
      <c r="A48" s="32" t="s">
        <v>144</v>
      </c>
      <c r="B48" s="33" t="str">
        <f t="shared" ref="B48:B53" si="5">LEFT(A48,2)</f>
        <v>50</v>
      </c>
      <c r="C48" s="32" t="s">
        <v>20</v>
      </c>
      <c r="D48" s="33" t="s">
        <v>116</v>
      </c>
      <c r="E48" s="34" t="s">
        <v>117</v>
      </c>
      <c r="F48" s="236" t="s">
        <v>118</v>
      </c>
      <c r="G48" s="230" t="s">
        <v>145</v>
      </c>
      <c r="H48" s="32"/>
      <c r="K48" s="501"/>
      <c r="L48" s="35">
        <v>8.6329999999999991</v>
      </c>
      <c r="M48" s="127">
        <v>9.5</v>
      </c>
      <c r="N48" s="358"/>
      <c r="O48" s="206" t="s">
        <v>41</v>
      </c>
      <c r="P48" s="36">
        <f t="shared" ref="P48:P63" si="6">M48-L48</f>
        <v>0.86700000000000088</v>
      </c>
      <c r="Q48" s="77">
        <f t="shared" si="4"/>
        <v>0.10042858797636986</v>
      </c>
      <c r="R48" s="77"/>
      <c r="S48" s="77"/>
      <c r="T48" s="77"/>
      <c r="U48" s="399" t="s">
        <v>27</v>
      </c>
      <c r="V48" s="192"/>
      <c r="W48" s="388"/>
      <c r="X48" s="513"/>
    </row>
    <row r="49" spans="1:24">
      <c r="A49" s="32" t="s">
        <v>146</v>
      </c>
      <c r="B49" s="33" t="str">
        <f t="shared" si="5"/>
        <v>50</v>
      </c>
      <c r="C49" s="32" t="s">
        <v>20</v>
      </c>
      <c r="D49" s="33" t="s">
        <v>116</v>
      </c>
      <c r="E49" s="34" t="s">
        <v>117</v>
      </c>
      <c r="F49" s="236" t="s">
        <v>118</v>
      </c>
      <c r="G49" s="230" t="s">
        <v>147</v>
      </c>
      <c r="H49" s="32"/>
      <c r="K49" s="501" t="s">
        <v>148</v>
      </c>
      <c r="L49" s="35">
        <v>10.91</v>
      </c>
      <c r="M49" s="127">
        <v>11.56</v>
      </c>
      <c r="N49" s="358"/>
      <c r="O49" s="206" t="s">
        <v>41</v>
      </c>
      <c r="P49" s="36">
        <f t="shared" si="6"/>
        <v>0.65000000000000036</v>
      </c>
      <c r="Q49" s="77">
        <f t="shared" si="4"/>
        <v>5.9578368469294256E-2</v>
      </c>
      <c r="R49" s="77"/>
      <c r="S49" s="77"/>
      <c r="T49" s="77"/>
      <c r="U49" s="399" t="s">
        <v>27</v>
      </c>
      <c r="V49" s="192"/>
      <c r="W49" s="388"/>
      <c r="X49" s="513"/>
    </row>
    <row r="50" spans="1:24">
      <c r="A50" s="32" t="s">
        <v>149</v>
      </c>
      <c r="B50" s="33" t="str">
        <f t="shared" si="5"/>
        <v>50</v>
      </c>
      <c r="C50" s="32" t="s">
        <v>20</v>
      </c>
      <c r="D50" s="33" t="s">
        <v>116</v>
      </c>
      <c r="E50" s="34" t="s">
        <v>117</v>
      </c>
      <c r="F50" s="236" t="s">
        <v>118</v>
      </c>
      <c r="G50" s="230" t="s">
        <v>150</v>
      </c>
      <c r="H50" s="32"/>
      <c r="K50" s="501" t="s">
        <v>148</v>
      </c>
      <c r="L50" s="35">
        <v>10.91</v>
      </c>
      <c r="M50" s="127">
        <v>11.56</v>
      </c>
      <c r="N50" s="358"/>
      <c r="O50" s="206" t="s">
        <v>41</v>
      </c>
      <c r="P50" s="36">
        <f t="shared" si="6"/>
        <v>0.65000000000000036</v>
      </c>
      <c r="Q50" s="77">
        <f t="shared" si="4"/>
        <v>5.9578368469294256E-2</v>
      </c>
      <c r="R50" s="77"/>
      <c r="S50" s="77"/>
      <c r="T50" s="77"/>
      <c r="U50" s="399" t="s">
        <v>27</v>
      </c>
      <c r="V50" s="192"/>
      <c r="W50" s="388"/>
      <c r="X50" s="513"/>
    </row>
    <row r="51" spans="1:24">
      <c r="A51" s="32" t="s">
        <v>151</v>
      </c>
      <c r="B51" s="33" t="str">
        <f t="shared" si="5"/>
        <v>50</v>
      </c>
      <c r="C51" s="32" t="s">
        <v>20</v>
      </c>
      <c r="D51" s="33" t="s">
        <v>116</v>
      </c>
      <c r="E51" s="34" t="s">
        <v>117</v>
      </c>
      <c r="F51" s="236" t="s">
        <v>118</v>
      </c>
      <c r="G51" s="230" t="s">
        <v>152</v>
      </c>
      <c r="H51" s="32"/>
      <c r="K51" s="501"/>
      <c r="L51" s="35">
        <v>16.37</v>
      </c>
      <c r="M51" s="127">
        <v>16.86</v>
      </c>
      <c r="N51" s="358"/>
      <c r="O51" s="206" t="s">
        <v>41</v>
      </c>
      <c r="P51" s="36">
        <f t="shared" si="6"/>
        <v>0.48999999999999844</v>
      </c>
      <c r="Q51" s="77">
        <f t="shared" si="4"/>
        <v>2.9932803909590619E-2</v>
      </c>
      <c r="R51" s="77"/>
      <c r="S51" s="77"/>
      <c r="T51" s="77"/>
      <c r="U51" s="399" t="s">
        <v>27</v>
      </c>
      <c r="V51" s="192"/>
      <c r="W51" s="388"/>
      <c r="X51" s="513"/>
    </row>
    <row r="52" spans="1:24">
      <c r="A52" s="32" t="s">
        <v>153</v>
      </c>
      <c r="B52" s="33" t="str">
        <f t="shared" si="5"/>
        <v>20</v>
      </c>
      <c r="C52" s="32" t="s">
        <v>67</v>
      </c>
      <c r="D52" s="33" t="s">
        <v>116</v>
      </c>
      <c r="E52" s="34" t="s">
        <v>117</v>
      </c>
      <c r="F52" s="236" t="s">
        <v>118</v>
      </c>
      <c r="G52" s="230" t="s">
        <v>83</v>
      </c>
      <c r="H52" s="32" t="s">
        <v>69</v>
      </c>
      <c r="K52" s="502"/>
      <c r="L52" s="35">
        <v>12.4</v>
      </c>
      <c r="M52" s="35">
        <v>13.27</v>
      </c>
      <c r="N52" s="358"/>
      <c r="O52" s="206" t="s">
        <v>41</v>
      </c>
      <c r="P52" s="36">
        <f t="shared" si="6"/>
        <v>0.86999999999999922</v>
      </c>
      <c r="Q52" s="77">
        <f t="shared" si="4"/>
        <v>7.0161290322580575E-2</v>
      </c>
      <c r="R52" s="77"/>
      <c r="S52" s="77"/>
      <c r="T52" s="77"/>
      <c r="U52" s="399" t="s">
        <v>27</v>
      </c>
      <c r="V52" s="192"/>
      <c r="W52" s="388"/>
      <c r="X52" s="513"/>
    </row>
    <row r="53" spans="1:24">
      <c r="A53" s="32" t="s">
        <v>154</v>
      </c>
      <c r="B53" s="33" t="str">
        <f t="shared" si="5"/>
        <v>20</v>
      </c>
      <c r="C53" s="32" t="s">
        <v>67</v>
      </c>
      <c r="D53" s="33" t="s">
        <v>116</v>
      </c>
      <c r="E53" s="34" t="s">
        <v>117</v>
      </c>
      <c r="F53" s="236" t="s">
        <v>118</v>
      </c>
      <c r="G53" s="230" t="s">
        <v>155</v>
      </c>
      <c r="H53" s="32" t="s">
        <v>69</v>
      </c>
      <c r="K53" s="502"/>
      <c r="L53" s="35">
        <v>12.8</v>
      </c>
      <c r="M53" s="35">
        <v>14.1</v>
      </c>
      <c r="N53" s="358"/>
      <c r="O53" s="206" t="s">
        <v>41</v>
      </c>
      <c r="P53" s="36">
        <f t="shared" si="6"/>
        <v>1.2999999999999989</v>
      </c>
      <c r="Q53" s="77">
        <f t="shared" si="4"/>
        <v>0.10156249999999992</v>
      </c>
      <c r="R53" s="77"/>
      <c r="S53" s="77"/>
      <c r="T53" s="77"/>
      <c r="U53" s="399" t="s">
        <v>27</v>
      </c>
      <c r="V53" s="192"/>
      <c r="W53" s="388"/>
      <c r="X53" s="513"/>
    </row>
    <row r="54" spans="1:24">
      <c r="A54" s="32" t="s">
        <v>156</v>
      </c>
      <c r="B54" s="33">
        <v>50</v>
      </c>
      <c r="C54" s="32" t="s">
        <v>20</v>
      </c>
      <c r="D54" s="33">
        <v>1006</v>
      </c>
      <c r="E54" s="34" t="s">
        <v>117</v>
      </c>
      <c r="F54" s="236" t="s">
        <v>118</v>
      </c>
      <c r="G54" s="230" t="s">
        <v>157</v>
      </c>
      <c r="H54" s="32"/>
      <c r="K54" s="502"/>
      <c r="L54" s="35">
        <v>9.65</v>
      </c>
      <c r="M54" s="35">
        <v>10.71</v>
      </c>
      <c r="N54" s="358"/>
      <c r="O54" s="206" t="s">
        <v>41</v>
      </c>
      <c r="P54" s="36">
        <f t="shared" si="6"/>
        <v>1.0600000000000005</v>
      </c>
      <c r="Q54" s="77">
        <f t="shared" si="4"/>
        <v>0.10984455958549227</v>
      </c>
      <c r="R54" s="77"/>
      <c r="S54" s="77"/>
      <c r="T54" s="77"/>
      <c r="U54" s="399" t="s">
        <v>27</v>
      </c>
      <c r="V54" s="192"/>
      <c r="W54" s="388"/>
      <c r="X54" s="513"/>
    </row>
    <row r="55" spans="1:24">
      <c r="A55" s="32" t="s">
        <v>158</v>
      </c>
      <c r="B55" s="33">
        <v>50</v>
      </c>
      <c r="C55" s="32" t="s">
        <v>20</v>
      </c>
      <c r="D55" s="33">
        <v>1006</v>
      </c>
      <c r="E55" s="34" t="s">
        <v>117</v>
      </c>
      <c r="F55" s="236" t="s">
        <v>118</v>
      </c>
      <c r="G55" s="230" t="s">
        <v>159</v>
      </c>
      <c r="H55" s="32"/>
      <c r="K55" s="502"/>
      <c r="L55" s="35">
        <v>10.61</v>
      </c>
      <c r="M55" s="35">
        <v>11.78</v>
      </c>
      <c r="N55" s="358"/>
      <c r="O55" s="206" t="s">
        <v>41</v>
      </c>
      <c r="P55" s="36">
        <f t="shared" si="6"/>
        <v>1.17</v>
      </c>
      <c r="Q55" s="77">
        <f t="shared" si="4"/>
        <v>0.11027332704995288</v>
      </c>
      <c r="R55" s="77"/>
      <c r="S55" s="77"/>
      <c r="T55" s="77"/>
      <c r="U55" s="399" t="s">
        <v>27</v>
      </c>
      <c r="V55" s="192"/>
      <c r="W55" s="388"/>
      <c r="X55" s="513"/>
    </row>
    <row r="56" spans="1:24">
      <c r="A56" s="32" t="s">
        <v>160</v>
      </c>
      <c r="B56" s="33" t="str">
        <f>LEFT(A56,2)</f>
        <v>20</v>
      </c>
      <c r="C56" s="32" t="s">
        <v>67</v>
      </c>
      <c r="D56" s="33" t="s">
        <v>116</v>
      </c>
      <c r="E56" s="34" t="s">
        <v>117</v>
      </c>
      <c r="F56" s="236" t="s">
        <v>118</v>
      </c>
      <c r="G56" s="230" t="s">
        <v>161</v>
      </c>
      <c r="H56" s="32" t="s">
        <v>92</v>
      </c>
      <c r="K56" s="502"/>
      <c r="L56" s="35">
        <v>11</v>
      </c>
      <c r="M56" s="35">
        <v>12</v>
      </c>
      <c r="N56" s="358"/>
      <c r="O56" s="206" t="s">
        <v>41</v>
      </c>
      <c r="P56" s="36">
        <f t="shared" si="6"/>
        <v>1</v>
      </c>
      <c r="Q56" s="77">
        <f t="shared" si="4"/>
        <v>9.0909090909090912E-2</v>
      </c>
      <c r="R56" s="77"/>
      <c r="S56" s="77"/>
      <c r="T56" s="77"/>
      <c r="U56" s="399" t="s">
        <v>27</v>
      </c>
      <c r="V56" s="192"/>
      <c r="W56" s="388"/>
      <c r="X56" s="513"/>
    </row>
    <row r="57" spans="1:24">
      <c r="A57" s="32" t="s">
        <v>162</v>
      </c>
      <c r="B57" s="33" t="str">
        <f>LEFT(A57,2)</f>
        <v>20</v>
      </c>
      <c r="C57" s="32" t="s">
        <v>67</v>
      </c>
      <c r="D57" s="33" t="s">
        <v>116</v>
      </c>
      <c r="E57" s="34" t="s">
        <v>117</v>
      </c>
      <c r="F57" s="236" t="s">
        <v>118</v>
      </c>
      <c r="G57" s="230" t="s">
        <v>163</v>
      </c>
      <c r="H57" s="32" t="s">
        <v>69</v>
      </c>
      <c r="K57" s="502"/>
      <c r="L57" s="35">
        <v>12.1</v>
      </c>
      <c r="M57" s="35">
        <v>13.43</v>
      </c>
      <c r="N57" s="358"/>
      <c r="O57" s="206" t="s">
        <v>41</v>
      </c>
      <c r="P57" s="36">
        <f t="shared" si="6"/>
        <v>1.33</v>
      </c>
      <c r="Q57" s="77">
        <f t="shared" si="4"/>
        <v>0.10991735537190084</v>
      </c>
      <c r="R57" s="77"/>
      <c r="S57" s="77"/>
      <c r="T57" s="77"/>
      <c r="U57" s="399" t="s">
        <v>27</v>
      </c>
      <c r="V57" s="192"/>
      <c r="W57" s="388"/>
      <c r="X57" s="513"/>
    </row>
    <row r="58" spans="1:24">
      <c r="A58" s="32" t="s">
        <v>164</v>
      </c>
      <c r="B58" s="33" t="str">
        <f>LEFT(A58,2)</f>
        <v>20</v>
      </c>
      <c r="C58" s="32" t="s">
        <v>67</v>
      </c>
      <c r="D58" s="33" t="s">
        <v>116</v>
      </c>
      <c r="E58" s="34" t="s">
        <v>117</v>
      </c>
      <c r="F58" s="236" t="s">
        <v>118</v>
      </c>
      <c r="G58" s="230" t="s">
        <v>165</v>
      </c>
      <c r="H58" s="32" t="s">
        <v>69</v>
      </c>
      <c r="K58" s="502"/>
      <c r="L58" s="35">
        <v>13.8</v>
      </c>
      <c r="M58" s="35">
        <v>15.87</v>
      </c>
      <c r="N58" s="358"/>
      <c r="O58" s="206" t="s">
        <v>41</v>
      </c>
      <c r="P58" s="36">
        <f t="shared" si="6"/>
        <v>2.0699999999999985</v>
      </c>
      <c r="Q58" s="77">
        <f t="shared" si="4"/>
        <v>0.14999999999999988</v>
      </c>
      <c r="R58" s="77"/>
      <c r="S58" s="77"/>
      <c r="T58" s="77"/>
      <c r="U58" s="399" t="s">
        <v>27</v>
      </c>
      <c r="V58" s="192"/>
      <c r="W58" s="388"/>
      <c r="X58" s="513"/>
    </row>
    <row r="59" spans="1:24">
      <c r="A59" s="32" t="s">
        <v>166</v>
      </c>
      <c r="B59" s="33">
        <v>20</v>
      </c>
      <c r="C59" s="32" t="s">
        <v>67</v>
      </c>
      <c r="D59" s="33">
        <v>1006</v>
      </c>
      <c r="E59" s="34" t="s">
        <v>117</v>
      </c>
      <c r="F59" s="236" t="s">
        <v>118</v>
      </c>
      <c r="G59" s="230" t="s">
        <v>167</v>
      </c>
      <c r="H59" s="32" t="s">
        <v>168</v>
      </c>
      <c r="K59" s="502"/>
      <c r="L59" s="35">
        <v>13</v>
      </c>
      <c r="M59" s="127">
        <v>14.2</v>
      </c>
      <c r="N59" s="358"/>
      <c r="O59" s="206" t="s">
        <v>41</v>
      </c>
      <c r="P59" s="36">
        <f t="shared" si="6"/>
        <v>1.1999999999999993</v>
      </c>
      <c r="Q59" s="77">
        <f t="shared" si="4"/>
        <v>9.2307692307692257E-2</v>
      </c>
      <c r="U59" s="399" t="s">
        <v>27</v>
      </c>
      <c r="V59" s="192"/>
      <c r="W59" s="388"/>
      <c r="X59" s="513"/>
    </row>
    <row r="60" spans="1:24">
      <c r="A60" s="32" t="s">
        <v>169</v>
      </c>
      <c r="B60" s="33">
        <v>50</v>
      </c>
      <c r="C60" s="32" t="s">
        <v>20</v>
      </c>
      <c r="D60" s="33">
        <v>1006</v>
      </c>
      <c r="E60" s="34" t="s">
        <v>117</v>
      </c>
      <c r="F60" s="236" t="s">
        <v>118</v>
      </c>
      <c r="G60" s="230" t="s">
        <v>170</v>
      </c>
      <c r="H60" s="32"/>
      <c r="K60" s="502"/>
      <c r="L60" s="35">
        <v>16.8</v>
      </c>
      <c r="M60" s="35">
        <v>18.309999999999999</v>
      </c>
      <c r="N60" s="358"/>
      <c r="O60" s="206" t="s">
        <v>41</v>
      </c>
      <c r="P60" s="36">
        <f t="shared" si="6"/>
        <v>1.509999999999998</v>
      </c>
      <c r="Q60" s="77">
        <f t="shared" si="4"/>
        <v>8.9880952380952256E-2</v>
      </c>
      <c r="R60" s="77"/>
      <c r="S60" s="77"/>
      <c r="T60" s="77"/>
      <c r="U60" s="399" t="s">
        <v>27</v>
      </c>
      <c r="V60" s="192"/>
      <c r="W60" s="388">
        <v>0.4</v>
      </c>
      <c r="X60" s="513"/>
    </row>
    <row r="61" spans="1:24">
      <c r="A61" s="32" t="s">
        <v>171</v>
      </c>
      <c r="B61" s="33">
        <v>50</v>
      </c>
      <c r="C61" s="32" t="s">
        <v>20</v>
      </c>
      <c r="D61" s="33" t="s">
        <v>116</v>
      </c>
      <c r="E61" s="34" t="s">
        <v>117</v>
      </c>
      <c r="F61" s="236" t="s">
        <v>118</v>
      </c>
      <c r="G61" s="230" t="s">
        <v>172</v>
      </c>
      <c r="H61" s="32"/>
      <c r="K61" s="502"/>
      <c r="L61" s="35">
        <v>13.72</v>
      </c>
      <c r="M61" s="35">
        <v>15.24</v>
      </c>
      <c r="N61" s="358"/>
      <c r="O61" s="206" t="s">
        <v>41</v>
      </c>
      <c r="P61" s="36">
        <f t="shared" si="6"/>
        <v>1.5199999999999996</v>
      </c>
      <c r="Q61" s="77">
        <f t="shared" si="4"/>
        <v>0.11078717201166177</v>
      </c>
      <c r="R61" s="77"/>
      <c r="S61" s="77"/>
      <c r="T61" s="77"/>
      <c r="U61" s="399" t="s">
        <v>27</v>
      </c>
      <c r="V61" s="192"/>
      <c r="W61" s="388"/>
      <c r="X61" s="513"/>
    </row>
    <row r="62" spans="1:24">
      <c r="A62" s="32" t="s">
        <v>173</v>
      </c>
      <c r="B62" s="33">
        <v>50</v>
      </c>
      <c r="C62" s="32" t="s">
        <v>20</v>
      </c>
      <c r="D62" s="33">
        <v>1006</v>
      </c>
      <c r="E62" s="34" t="s">
        <v>117</v>
      </c>
      <c r="F62" s="236" t="s">
        <v>118</v>
      </c>
      <c r="G62" s="230" t="s">
        <v>174</v>
      </c>
      <c r="H62" s="32"/>
      <c r="K62" s="502"/>
      <c r="L62" s="35">
        <v>15.61</v>
      </c>
      <c r="M62" s="35">
        <v>17.64</v>
      </c>
      <c r="N62" s="358"/>
      <c r="O62" s="206" t="s">
        <v>41</v>
      </c>
      <c r="P62" s="36">
        <f t="shared" si="6"/>
        <v>2.0300000000000011</v>
      </c>
      <c r="Q62" s="77">
        <f t="shared" si="4"/>
        <v>0.13004484304932742</v>
      </c>
      <c r="R62" s="77"/>
      <c r="S62" s="77"/>
      <c r="T62" s="77"/>
      <c r="U62" s="399" t="s">
        <v>27</v>
      </c>
      <c r="V62" s="192"/>
      <c r="W62" s="388">
        <v>0.1</v>
      </c>
      <c r="X62" s="513"/>
    </row>
    <row r="63" spans="1:24">
      <c r="A63" s="32" t="s">
        <v>175</v>
      </c>
      <c r="B63" s="33">
        <v>50</v>
      </c>
      <c r="C63" s="32" t="s">
        <v>20</v>
      </c>
      <c r="D63" s="33">
        <v>1006</v>
      </c>
      <c r="E63" s="34" t="s">
        <v>117</v>
      </c>
      <c r="F63" s="236" t="s">
        <v>118</v>
      </c>
      <c r="G63" s="230" t="s">
        <v>176</v>
      </c>
      <c r="H63" s="32"/>
      <c r="K63" s="502"/>
      <c r="L63" s="35">
        <v>10.76</v>
      </c>
      <c r="M63" s="127">
        <v>12.78</v>
      </c>
      <c r="N63" s="358"/>
      <c r="O63" s="206" t="s">
        <v>41</v>
      </c>
      <c r="P63" s="36">
        <f t="shared" si="6"/>
        <v>2.0199999999999996</v>
      </c>
      <c r="Q63" s="77">
        <f t="shared" si="4"/>
        <v>0.18773234200743491</v>
      </c>
      <c r="R63" s="77"/>
      <c r="S63" s="77"/>
      <c r="T63" s="77"/>
      <c r="U63" s="399" t="s">
        <v>27</v>
      </c>
      <c r="V63" s="192"/>
      <c r="W63" s="388"/>
      <c r="X63" s="513"/>
    </row>
    <row r="64" spans="1:24">
      <c r="A64" s="37" t="s">
        <v>177</v>
      </c>
      <c r="B64" s="38" t="str">
        <f>LEFT(A64,2)</f>
        <v>80</v>
      </c>
      <c r="C64" s="37" t="s">
        <v>30</v>
      </c>
      <c r="D64" s="38">
        <v>1038</v>
      </c>
      <c r="E64" s="39" t="s">
        <v>178</v>
      </c>
      <c r="F64" s="237" t="s">
        <v>179</v>
      </c>
      <c r="G64" s="473" t="s">
        <v>180</v>
      </c>
      <c r="H64" s="37"/>
      <c r="K64" s="503"/>
      <c r="L64" s="40">
        <f>17.85*150/1000</f>
        <v>2.6775000000000002</v>
      </c>
      <c r="M64" s="40">
        <v>3.55</v>
      </c>
      <c r="N64" s="359"/>
      <c r="O64" s="207" t="s">
        <v>41</v>
      </c>
      <c r="P64" s="41">
        <f>M64-L64-V64+W64</f>
        <v>0.48499999999999965</v>
      </c>
      <c r="Q64" s="92">
        <f>P64/L64</f>
        <v>0.18113912231559276</v>
      </c>
      <c r="R64" s="78"/>
      <c r="S64" s="78"/>
      <c r="T64" s="78"/>
      <c r="U64" s="404" t="s">
        <v>26</v>
      </c>
      <c r="V64" s="422">
        <f>3.25*0.15</f>
        <v>0.48749999999999999</v>
      </c>
      <c r="W64" s="423">
        <v>0.1</v>
      </c>
      <c r="X64" s="513"/>
    </row>
    <row r="65" spans="1:24">
      <c r="A65" s="37" t="s">
        <v>181</v>
      </c>
      <c r="B65" s="38" t="str">
        <f>LEFT(A65,2)</f>
        <v>80</v>
      </c>
      <c r="C65" s="37" t="s">
        <v>30</v>
      </c>
      <c r="D65" s="38">
        <v>1038</v>
      </c>
      <c r="E65" s="39" t="s">
        <v>178</v>
      </c>
      <c r="F65" s="237" t="s">
        <v>179</v>
      </c>
      <c r="G65" s="473" t="s">
        <v>182</v>
      </c>
      <c r="H65" s="37"/>
      <c r="K65" s="503"/>
      <c r="L65" s="40">
        <v>16.75</v>
      </c>
      <c r="M65" s="40">
        <v>23.2</v>
      </c>
      <c r="N65" s="359"/>
      <c r="O65" s="207" t="s">
        <v>41</v>
      </c>
      <c r="P65" s="41">
        <f>M65-L65-V65+W65</f>
        <v>3.2999999999999994</v>
      </c>
      <c r="Q65" s="92">
        <f t="shared" ref="Q65:Q92" si="7">P65/L65</f>
        <v>0.19701492537313428</v>
      </c>
      <c r="R65" s="78"/>
      <c r="S65" s="78"/>
      <c r="T65" s="78"/>
      <c r="U65" s="404" t="s">
        <v>26</v>
      </c>
      <c r="V65" s="422">
        <v>3.25</v>
      </c>
      <c r="W65" s="423">
        <v>0.1</v>
      </c>
      <c r="X65" s="513"/>
    </row>
    <row r="66" spans="1:24">
      <c r="A66" s="37" t="s">
        <v>183</v>
      </c>
      <c r="B66" s="38">
        <v>80</v>
      </c>
      <c r="C66" s="37" t="s">
        <v>30</v>
      </c>
      <c r="D66" s="38">
        <v>1038</v>
      </c>
      <c r="E66" s="39" t="s">
        <v>178</v>
      </c>
      <c r="F66" s="237" t="s">
        <v>179</v>
      </c>
      <c r="G66" s="473" t="s">
        <v>184</v>
      </c>
      <c r="H66" s="37"/>
      <c r="K66" s="503"/>
      <c r="L66" s="40">
        <v>15.9</v>
      </c>
      <c r="M66" s="40">
        <v>22.4</v>
      </c>
      <c r="N66" s="359"/>
      <c r="O66" s="207" t="s">
        <v>41</v>
      </c>
      <c r="P66" s="41">
        <f>M66-L66-V66+W66</f>
        <v>3.3499999999999983</v>
      </c>
      <c r="Q66" s="92">
        <f t="shared" si="7"/>
        <v>0.21069182389937097</v>
      </c>
      <c r="R66" s="78"/>
      <c r="S66" s="78"/>
      <c r="T66" s="78"/>
      <c r="U66" s="404" t="s">
        <v>26</v>
      </c>
      <c r="V66" s="422">
        <v>3.25</v>
      </c>
      <c r="W66" s="423">
        <v>0.1</v>
      </c>
      <c r="X66" s="513"/>
    </row>
    <row r="67" spans="1:24">
      <c r="A67" s="37" t="s">
        <v>185</v>
      </c>
      <c r="B67" s="38" t="str">
        <f>LEFT(A67,2)</f>
        <v>80</v>
      </c>
      <c r="C67" s="37" t="s">
        <v>30</v>
      </c>
      <c r="D67" s="38">
        <v>1038</v>
      </c>
      <c r="E67" s="39" t="s">
        <v>178</v>
      </c>
      <c r="F67" s="237" t="s">
        <v>179</v>
      </c>
      <c r="G67" s="473" t="s">
        <v>186</v>
      </c>
      <c r="H67" s="37"/>
      <c r="K67" s="504"/>
      <c r="L67" s="40">
        <f>16.65*150/1000</f>
        <v>2.4975000000000001</v>
      </c>
      <c r="M67" s="386">
        <f>19.95*0.15</f>
        <v>2.9924999999999997</v>
      </c>
      <c r="N67" s="359"/>
      <c r="O67" s="207" t="s">
        <v>41</v>
      </c>
      <c r="P67" s="41">
        <f>M67-L67-V67+W67</f>
        <v>0.10749999999999968</v>
      </c>
      <c r="Q67" s="92">
        <f t="shared" si="7"/>
        <v>4.3043043043042913E-2</v>
      </c>
      <c r="R67" s="78"/>
      <c r="S67" s="78"/>
      <c r="T67" s="78"/>
      <c r="U67" s="404" t="s">
        <v>26</v>
      </c>
      <c r="V67" s="422">
        <f>3.25*0.15</f>
        <v>0.48749999999999999</v>
      </c>
      <c r="W67" s="423">
        <v>0.1</v>
      </c>
      <c r="X67" s="513"/>
    </row>
    <row r="68" spans="1:24">
      <c r="A68" s="37" t="s">
        <v>187</v>
      </c>
      <c r="B68" s="38" t="str">
        <f>LEFT(A68,2)</f>
        <v>80</v>
      </c>
      <c r="C68" s="37" t="s">
        <v>30</v>
      </c>
      <c r="D68" s="38">
        <v>1038</v>
      </c>
      <c r="E68" s="39" t="s">
        <v>178</v>
      </c>
      <c r="F68" s="237" t="s">
        <v>179</v>
      </c>
      <c r="G68" s="473" t="s">
        <v>188</v>
      </c>
      <c r="H68" s="37"/>
      <c r="K68" s="503"/>
      <c r="L68" s="40">
        <v>14.95</v>
      </c>
      <c r="M68" s="40">
        <v>20.79</v>
      </c>
      <c r="N68" s="359"/>
      <c r="O68" s="207" t="s">
        <v>41</v>
      </c>
      <c r="P68" s="41">
        <f>M68-L68-V68+W68</f>
        <v>2.69</v>
      </c>
      <c r="Q68" s="92">
        <f t="shared" si="7"/>
        <v>0.17993311036789297</v>
      </c>
      <c r="R68" s="78"/>
      <c r="S68" s="78"/>
      <c r="T68" s="78"/>
      <c r="U68" s="404" t="s">
        <v>26</v>
      </c>
      <c r="V68" s="422">
        <v>3.25</v>
      </c>
      <c r="W68" s="423">
        <v>0.1</v>
      </c>
      <c r="X68" s="513"/>
    </row>
    <row r="69" spans="1:24">
      <c r="A69" s="42" t="s">
        <v>189</v>
      </c>
      <c r="B69" s="43">
        <v>20</v>
      </c>
      <c r="C69" s="42" t="s">
        <v>67</v>
      </c>
      <c r="D69" s="43" t="s">
        <v>190</v>
      </c>
      <c r="E69" s="44" t="s">
        <v>191</v>
      </c>
      <c r="F69" s="238" t="s">
        <v>118</v>
      </c>
      <c r="G69" s="474" t="s">
        <v>122</v>
      </c>
      <c r="H69" s="42" t="s">
        <v>92</v>
      </c>
      <c r="K69" s="503"/>
      <c r="L69" s="45">
        <v>15.15</v>
      </c>
      <c r="M69" s="118">
        <v>17.07</v>
      </c>
      <c r="N69" s="360"/>
      <c r="O69" s="208" t="s">
        <v>41</v>
      </c>
      <c r="P69" s="46">
        <f t="shared" ref="P69:P88" si="8">M69-L69+W69-V69</f>
        <v>1.3699999999999999</v>
      </c>
      <c r="Q69" s="79">
        <f t="shared" si="7"/>
        <v>9.0429042904290421E-2</v>
      </c>
      <c r="R69" s="79"/>
      <c r="S69" s="79"/>
      <c r="T69" s="79"/>
      <c r="U69" s="405" t="s">
        <v>192</v>
      </c>
      <c r="V69" s="424">
        <v>0.95</v>
      </c>
      <c r="W69" s="425">
        <v>0.4</v>
      </c>
      <c r="X69" s="513"/>
    </row>
    <row r="70" spans="1:24">
      <c r="A70" s="42" t="s">
        <v>193</v>
      </c>
      <c r="B70" s="43">
        <v>20</v>
      </c>
      <c r="C70" s="42" t="s">
        <v>67</v>
      </c>
      <c r="D70" s="43" t="s">
        <v>190</v>
      </c>
      <c r="E70" s="44" t="s">
        <v>191</v>
      </c>
      <c r="F70" s="238" t="s">
        <v>118</v>
      </c>
      <c r="G70" s="474" t="s">
        <v>194</v>
      </c>
      <c r="H70" s="42" t="s">
        <v>92</v>
      </c>
      <c r="K70" s="503"/>
      <c r="L70" s="45">
        <v>14.15</v>
      </c>
      <c r="M70" s="118">
        <v>16.68</v>
      </c>
      <c r="N70" s="360"/>
      <c r="O70" s="208" t="s">
        <v>41</v>
      </c>
      <c r="P70" s="46">
        <f t="shared" si="8"/>
        <v>1.9799999999999993</v>
      </c>
      <c r="Q70" s="79">
        <f t="shared" si="7"/>
        <v>0.13992932862190807</v>
      </c>
      <c r="R70" s="79"/>
      <c r="S70" s="79"/>
      <c r="T70" s="79"/>
      <c r="U70" s="405" t="s">
        <v>192</v>
      </c>
      <c r="V70" s="424">
        <v>0.95</v>
      </c>
      <c r="W70" s="425">
        <v>0.4</v>
      </c>
      <c r="X70" s="513"/>
    </row>
    <row r="71" spans="1:24">
      <c r="A71" s="42" t="s">
        <v>189</v>
      </c>
      <c r="B71" s="43">
        <v>120</v>
      </c>
      <c r="C71" s="42" t="s">
        <v>36</v>
      </c>
      <c r="D71" s="43" t="s">
        <v>190</v>
      </c>
      <c r="E71" s="44" t="s">
        <v>191</v>
      </c>
      <c r="F71" s="238" t="s">
        <v>118</v>
      </c>
      <c r="G71" s="474" t="s">
        <v>195</v>
      </c>
      <c r="H71" s="42"/>
      <c r="K71" s="503"/>
      <c r="L71" s="45">
        <v>14.05</v>
      </c>
      <c r="M71" s="118">
        <v>15.89</v>
      </c>
      <c r="N71" s="360"/>
      <c r="O71" s="208" t="s">
        <v>41</v>
      </c>
      <c r="P71" s="46">
        <f t="shared" si="8"/>
        <v>1.2899999999999998</v>
      </c>
      <c r="Q71" s="79">
        <f t="shared" si="7"/>
        <v>9.1814946619217061E-2</v>
      </c>
      <c r="R71" s="79"/>
      <c r="S71" s="79"/>
      <c r="T71" s="79"/>
      <c r="U71" s="405" t="s">
        <v>192</v>
      </c>
      <c r="V71" s="424">
        <v>0.95</v>
      </c>
      <c r="W71" s="425">
        <v>0.4</v>
      </c>
      <c r="X71" s="513"/>
    </row>
    <row r="72" spans="1:24">
      <c r="A72" s="42" t="s">
        <v>193</v>
      </c>
      <c r="B72" s="43">
        <v>120</v>
      </c>
      <c r="C72" s="42" t="s">
        <v>36</v>
      </c>
      <c r="D72" s="43" t="s">
        <v>190</v>
      </c>
      <c r="E72" s="44" t="s">
        <v>191</v>
      </c>
      <c r="F72" s="238" t="s">
        <v>118</v>
      </c>
      <c r="G72" s="474" t="s">
        <v>196</v>
      </c>
      <c r="H72" s="42"/>
      <c r="K72" s="503"/>
      <c r="L72" s="45">
        <v>13.1</v>
      </c>
      <c r="M72" s="118">
        <v>15.48</v>
      </c>
      <c r="N72" s="360"/>
      <c r="O72" s="208" t="s">
        <v>41</v>
      </c>
      <c r="P72" s="46">
        <f t="shared" si="8"/>
        <v>1.8300000000000007</v>
      </c>
      <c r="Q72" s="79">
        <f t="shared" si="7"/>
        <v>0.13969465648854967</v>
      </c>
      <c r="R72" s="79"/>
      <c r="S72" s="79"/>
      <c r="T72" s="79"/>
      <c r="U72" s="405" t="s">
        <v>192</v>
      </c>
      <c r="V72" s="424">
        <v>0.95</v>
      </c>
      <c r="W72" s="425">
        <v>0.4</v>
      </c>
      <c r="X72" s="513"/>
    </row>
    <row r="73" spans="1:24">
      <c r="A73" s="42" t="s">
        <v>197</v>
      </c>
      <c r="B73" s="43" t="str">
        <f>LEFT(A73,3)</f>
        <v>130</v>
      </c>
      <c r="C73" s="42" t="s">
        <v>198</v>
      </c>
      <c r="D73" s="43" t="s">
        <v>190</v>
      </c>
      <c r="E73" s="44" t="s">
        <v>191</v>
      </c>
      <c r="F73" s="238" t="s">
        <v>118</v>
      </c>
      <c r="G73" s="474" t="s">
        <v>199</v>
      </c>
      <c r="H73" s="42"/>
      <c r="K73" s="503"/>
      <c r="L73" s="45">
        <v>24.95</v>
      </c>
      <c r="M73" s="118">
        <v>28.2</v>
      </c>
      <c r="N73" s="360"/>
      <c r="O73" s="208" t="s">
        <v>41</v>
      </c>
      <c r="P73" s="46">
        <f t="shared" si="8"/>
        <v>2.2999999999999998</v>
      </c>
      <c r="Q73" s="79">
        <f t="shared" si="7"/>
        <v>9.2184368737474945E-2</v>
      </c>
      <c r="R73" s="79"/>
      <c r="S73" s="79"/>
      <c r="T73" s="79"/>
      <c r="U73" s="405" t="s">
        <v>192</v>
      </c>
      <c r="V73" s="424">
        <v>0.95</v>
      </c>
      <c r="W73" s="425"/>
      <c r="X73" s="513"/>
    </row>
    <row r="74" spans="1:24">
      <c r="A74" s="42" t="s">
        <v>200</v>
      </c>
      <c r="B74" s="43" t="str">
        <f>LEFT(A74,3)</f>
        <v>130</v>
      </c>
      <c r="C74" s="42" t="s">
        <v>198</v>
      </c>
      <c r="D74" s="43" t="s">
        <v>190</v>
      </c>
      <c r="E74" s="44" t="s">
        <v>191</v>
      </c>
      <c r="F74" s="238" t="s">
        <v>118</v>
      </c>
      <c r="G74" s="474" t="s">
        <v>201</v>
      </c>
      <c r="H74" s="42"/>
      <c r="K74" s="503"/>
      <c r="L74" s="45">
        <v>20.05</v>
      </c>
      <c r="M74" s="45">
        <v>22.8</v>
      </c>
      <c r="N74" s="360"/>
      <c r="O74" s="208" t="s">
        <v>41</v>
      </c>
      <c r="P74" s="46">
        <f t="shared" si="8"/>
        <v>1.8</v>
      </c>
      <c r="Q74" s="79">
        <f t="shared" si="7"/>
        <v>8.9775561097256859E-2</v>
      </c>
      <c r="R74" s="79"/>
      <c r="S74" s="79"/>
      <c r="T74" s="79"/>
      <c r="U74" s="405" t="s">
        <v>192</v>
      </c>
      <c r="V74" s="424">
        <v>0.95</v>
      </c>
      <c r="W74" s="425"/>
      <c r="X74" s="513"/>
    </row>
    <row r="75" spans="1:24">
      <c r="A75" s="42" t="s">
        <v>202</v>
      </c>
      <c r="B75" s="43">
        <v>30</v>
      </c>
      <c r="C75" s="42" t="s">
        <v>203</v>
      </c>
      <c r="D75" s="43" t="s">
        <v>190</v>
      </c>
      <c r="E75" s="44" t="s">
        <v>191</v>
      </c>
      <c r="F75" s="238" t="s">
        <v>118</v>
      </c>
      <c r="G75" s="474" t="s">
        <v>204</v>
      </c>
      <c r="H75" s="42"/>
      <c r="K75" s="503"/>
      <c r="L75" s="45">
        <v>15.7</v>
      </c>
      <c r="M75" s="45">
        <v>17.329999999999998</v>
      </c>
      <c r="N75" s="360"/>
      <c r="O75" s="208" t="s">
        <v>41</v>
      </c>
      <c r="P75" s="46">
        <f t="shared" si="8"/>
        <v>0.77999999999999914</v>
      </c>
      <c r="Q75" s="79">
        <f t="shared" si="7"/>
        <v>4.968152866242033E-2</v>
      </c>
      <c r="R75" s="79"/>
      <c r="S75" s="79"/>
      <c r="T75" s="79"/>
      <c r="U75" s="405" t="s">
        <v>192</v>
      </c>
      <c r="V75" s="424">
        <v>0.95</v>
      </c>
      <c r="W75" s="425">
        <v>0.1</v>
      </c>
      <c r="X75" s="513"/>
    </row>
    <row r="76" spans="1:24">
      <c r="A76" s="42" t="s">
        <v>205</v>
      </c>
      <c r="B76" s="43">
        <v>30</v>
      </c>
      <c r="C76" s="42" t="s">
        <v>203</v>
      </c>
      <c r="D76" s="43" t="s">
        <v>190</v>
      </c>
      <c r="E76" s="44" t="s">
        <v>191</v>
      </c>
      <c r="F76" s="238" t="s">
        <v>118</v>
      </c>
      <c r="G76" s="474" t="s">
        <v>206</v>
      </c>
      <c r="H76" s="42"/>
      <c r="K76" s="503"/>
      <c r="L76" s="45">
        <v>16.12</v>
      </c>
      <c r="M76" s="45">
        <v>18.189999999999998</v>
      </c>
      <c r="N76" s="360"/>
      <c r="O76" s="208" t="s">
        <v>41</v>
      </c>
      <c r="P76" s="46">
        <f t="shared" si="8"/>
        <v>1.2199999999999969</v>
      </c>
      <c r="Q76" s="79">
        <f t="shared" si="7"/>
        <v>7.5682382133994835E-2</v>
      </c>
      <c r="R76" s="79"/>
      <c r="S76" s="79"/>
      <c r="T76" s="79"/>
      <c r="U76" s="405" t="s">
        <v>192</v>
      </c>
      <c r="V76" s="424">
        <v>0.95</v>
      </c>
      <c r="W76" s="425">
        <v>0.1</v>
      </c>
      <c r="X76" s="513"/>
    </row>
    <row r="77" spans="1:24" ht="15" customHeight="1">
      <c r="A77" s="47" t="s">
        <v>207</v>
      </c>
      <c r="B77" s="43">
        <v>30</v>
      </c>
      <c r="C77" s="42" t="s">
        <v>203</v>
      </c>
      <c r="D77" s="43">
        <v>1008</v>
      </c>
      <c r="E77" s="44" t="s">
        <v>191</v>
      </c>
      <c r="F77" s="238" t="s">
        <v>118</v>
      </c>
      <c r="G77" s="474" t="s">
        <v>208</v>
      </c>
      <c r="H77" s="42"/>
      <c r="K77" s="503"/>
      <c r="L77" s="45">
        <v>18.309999999999999</v>
      </c>
      <c r="M77" s="45">
        <v>21.39</v>
      </c>
      <c r="N77" s="360"/>
      <c r="O77" s="208" t="s">
        <v>41</v>
      </c>
      <c r="P77" s="46">
        <f t="shared" si="8"/>
        <v>2.1300000000000017</v>
      </c>
      <c r="Q77" s="79">
        <f t="shared" si="7"/>
        <v>0.11632987438558175</v>
      </c>
      <c r="R77" s="79"/>
      <c r="S77" s="79"/>
      <c r="T77" s="79"/>
      <c r="U77" s="405" t="s">
        <v>192</v>
      </c>
      <c r="V77" s="424">
        <v>0.95</v>
      </c>
      <c r="W77" s="425"/>
      <c r="X77" s="513"/>
    </row>
    <row r="78" spans="1:24" ht="15" customHeight="1">
      <c r="A78" s="42" t="s">
        <v>209</v>
      </c>
      <c r="B78" s="43">
        <v>80</v>
      </c>
      <c r="C78" s="42" t="s">
        <v>30</v>
      </c>
      <c r="D78" s="43" t="s">
        <v>190</v>
      </c>
      <c r="E78" s="44" t="s">
        <v>191</v>
      </c>
      <c r="F78" s="238" t="s">
        <v>118</v>
      </c>
      <c r="G78" s="475" t="s">
        <v>210</v>
      </c>
      <c r="H78" s="42"/>
      <c r="K78" s="502" t="s">
        <v>211</v>
      </c>
      <c r="L78" s="45">
        <v>2.68</v>
      </c>
      <c r="M78" s="45">
        <v>2.9224999999999999</v>
      </c>
      <c r="N78" s="360"/>
      <c r="O78" s="208" t="s">
        <v>41</v>
      </c>
      <c r="P78" s="46">
        <f t="shared" si="8"/>
        <v>0.19999999999999971</v>
      </c>
      <c r="Q78" s="79">
        <f t="shared" si="7"/>
        <v>7.4626865671641673E-2</v>
      </c>
      <c r="R78" s="79"/>
      <c r="S78" s="79"/>
      <c r="T78" s="79"/>
      <c r="U78" s="405" t="s">
        <v>192</v>
      </c>
      <c r="V78" s="424">
        <v>0.14249999999999999</v>
      </c>
      <c r="W78" s="425">
        <v>0.1</v>
      </c>
      <c r="X78" s="513"/>
    </row>
    <row r="79" spans="1:24" ht="15" customHeight="1">
      <c r="A79" s="42" t="s">
        <v>212</v>
      </c>
      <c r="B79" s="43" t="str">
        <f>LEFT(A79,2)</f>
        <v>20</v>
      </c>
      <c r="C79" s="42" t="s">
        <v>67</v>
      </c>
      <c r="D79" s="43" t="s">
        <v>190</v>
      </c>
      <c r="E79" s="44" t="s">
        <v>191</v>
      </c>
      <c r="F79" s="238" t="s">
        <v>118</v>
      </c>
      <c r="G79" s="474" t="s">
        <v>73</v>
      </c>
      <c r="H79" s="42" t="s">
        <v>69</v>
      </c>
      <c r="K79" s="503"/>
      <c r="L79" s="45">
        <v>9.1</v>
      </c>
      <c r="M79" s="45">
        <v>11.772599999999999</v>
      </c>
      <c r="N79" s="360"/>
      <c r="O79" s="208" t="s">
        <v>41</v>
      </c>
      <c r="P79" s="46">
        <f t="shared" si="8"/>
        <v>1.7225999999999992</v>
      </c>
      <c r="Q79" s="79">
        <f t="shared" si="7"/>
        <v>0.18929670329670323</v>
      </c>
      <c r="R79" s="79"/>
      <c r="S79" s="79"/>
      <c r="T79" s="79"/>
      <c r="U79" s="405" t="s">
        <v>192</v>
      </c>
      <c r="V79" s="424">
        <v>0.95</v>
      </c>
      <c r="W79" s="425"/>
      <c r="X79" s="513"/>
    </row>
    <row r="80" spans="1:24" ht="15" customHeight="1">
      <c r="A80" s="42" t="s">
        <v>213</v>
      </c>
      <c r="B80" s="43">
        <v>20</v>
      </c>
      <c r="C80" s="42" t="s">
        <v>67</v>
      </c>
      <c r="D80" s="43" t="s">
        <v>190</v>
      </c>
      <c r="E80" s="44" t="s">
        <v>191</v>
      </c>
      <c r="F80" s="238" t="s">
        <v>118</v>
      </c>
      <c r="G80" s="474" t="s">
        <v>214</v>
      </c>
      <c r="H80" s="42" t="s">
        <v>69</v>
      </c>
      <c r="K80" s="503"/>
      <c r="L80" s="45">
        <v>12.4</v>
      </c>
      <c r="M80" s="45">
        <v>15.09</v>
      </c>
      <c r="N80" s="360"/>
      <c r="O80" s="208" t="s">
        <v>41</v>
      </c>
      <c r="P80" s="46">
        <f t="shared" si="8"/>
        <v>1.7399999999999995</v>
      </c>
      <c r="Q80" s="79">
        <f t="shared" si="7"/>
        <v>0.14032258064516126</v>
      </c>
      <c r="R80" s="79"/>
      <c r="S80" s="79"/>
      <c r="T80" s="79"/>
      <c r="U80" s="405" t="s">
        <v>192</v>
      </c>
      <c r="V80" s="424">
        <v>0.95</v>
      </c>
      <c r="W80" s="425"/>
      <c r="X80" s="513"/>
    </row>
    <row r="81" spans="1:26 15809:15814" ht="15" customHeight="1">
      <c r="A81" s="47" t="s">
        <v>215</v>
      </c>
      <c r="B81" s="43" t="str">
        <f>LEFT(A81,2)</f>
        <v>20</v>
      </c>
      <c r="C81" s="42" t="s">
        <v>67</v>
      </c>
      <c r="D81" s="43" t="s">
        <v>190</v>
      </c>
      <c r="E81" s="44" t="s">
        <v>191</v>
      </c>
      <c r="F81" s="238" t="s">
        <v>118</v>
      </c>
      <c r="G81" s="474" t="s">
        <v>216</v>
      </c>
      <c r="H81" s="42" t="s">
        <v>217</v>
      </c>
      <c r="K81" s="502" t="s">
        <v>218</v>
      </c>
      <c r="L81" s="45">
        <v>15.1</v>
      </c>
      <c r="M81" s="45">
        <v>17.87</v>
      </c>
      <c r="N81" s="360"/>
      <c r="O81" s="208" t="s">
        <v>41</v>
      </c>
      <c r="P81" s="46">
        <f t="shared" si="8"/>
        <v>1.8200000000000014</v>
      </c>
      <c r="Q81" s="79">
        <f t="shared" si="7"/>
        <v>0.1205298013245034</v>
      </c>
      <c r="R81" s="79"/>
      <c r="S81" s="79"/>
      <c r="T81" s="79"/>
      <c r="U81" s="405" t="s">
        <v>192</v>
      </c>
      <c r="V81" s="424">
        <v>0.95</v>
      </c>
      <c r="W81" s="425"/>
      <c r="X81" s="513"/>
    </row>
    <row r="82" spans="1:26 15809:15814">
      <c r="A82" s="47" t="s">
        <v>219</v>
      </c>
      <c r="B82" s="43">
        <v>20</v>
      </c>
      <c r="C82" s="42" t="s">
        <v>67</v>
      </c>
      <c r="D82" s="43" t="s">
        <v>190</v>
      </c>
      <c r="E82" s="44" t="s">
        <v>191</v>
      </c>
      <c r="F82" s="238" t="s">
        <v>118</v>
      </c>
      <c r="G82" s="474" t="s">
        <v>220</v>
      </c>
      <c r="H82" s="42" t="s">
        <v>69</v>
      </c>
      <c r="K82" s="503"/>
      <c r="L82" s="45">
        <v>13.65</v>
      </c>
      <c r="M82" s="45">
        <v>16.100000000000001</v>
      </c>
      <c r="N82" s="360"/>
      <c r="O82" s="208" t="s">
        <v>41</v>
      </c>
      <c r="P82" s="46">
        <f t="shared" si="8"/>
        <v>1.5000000000000011</v>
      </c>
      <c r="Q82" s="79">
        <f t="shared" si="7"/>
        <v>0.10989010989010997</v>
      </c>
      <c r="R82" s="79"/>
      <c r="S82" s="79"/>
      <c r="T82" s="79"/>
      <c r="U82" s="405" t="s">
        <v>192</v>
      </c>
      <c r="V82" s="424">
        <v>0.95</v>
      </c>
      <c r="W82" s="425"/>
      <c r="X82" s="513"/>
    </row>
    <row r="83" spans="1:26 15809:15814">
      <c r="A83" s="42" t="s">
        <v>221</v>
      </c>
      <c r="B83" s="43">
        <v>20</v>
      </c>
      <c r="C83" s="42" t="s">
        <v>67</v>
      </c>
      <c r="D83" s="43" t="s">
        <v>190</v>
      </c>
      <c r="E83" s="44" t="s">
        <v>191</v>
      </c>
      <c r="F83" s="238" t="s">
        <v>118</v>
      </c>
      <c r="G83" s="474" t="s">
        <v>222</v>
      </c>
      <c r="H83" s="42" t="s">
        <v>217</v>
      </c>
      <c r="K83" s="503"/>
      <c r="L83" s="45">
        <v>11.45</v>
      </c>
      <c r="M83" s="45">
        <v>14.12</v>
      </c>
      <c r="N83" s="360"/>
      <c r="O83" s="208" t="s">
        <v>41</v>
      </c>
      <c r="P83" s="46">
        <f t="shared" si="8"/>
        <v>1.72</v>
      </c>
      <c r="Q83" s="79">
        <f t="shared" si="7"/>
        <v>0.15021834061135372</v>
      </c>
      <c r="R83" s="79"/>
      <c r="S83" s="79"/>
      <c r="T83" s="79"/>
      <c r="U83" s="405" t="s">
        <v>192</v>
      </c>
      <c r="V83" s="424">
        <v>0.95</v>
      </c>
      <c r="W83" s="425"/>
      <c r="X83" s="513"/>
    </row>
    <row r="84" spans="1:26 15809:15814">
      <c r="A84" s="42" t="s">
        <v>223</v>
      </c>
      <c r="B84" s="43">
        <v>20</v>
      </c>
      <c r="C84" s="42" t="s">
        <v>67</v>
      </c>
      <c r="D84" s="43" t="s">
        <v>190</v>
      </c>
      <c r="E84" s="44" t="s">
        <v>191</v>
      </c>
      <c r="F84" s="238" t="s">
        <v>118</v>
      </c>
      <c r="G84" s="474" t="s">
        <v>224</v>
      </c>
      <c r="H84" s="42" t="s">
        <v>225</v>
      </c>
      <c r="K84" s="503"/>
      <c r="L84" s="45">
        <v>14.15</v>
      </c>
      <c r="M84" s="45">
        <v>16.8</v>
      </c>
      <c r="N84" s="360"/>
      <c r="O84" s="208" t="s">
        <v>41</v>
      </c>
      <c r="P84" s="46">
        <f t="shared" si="8"/>
        <v>1.7000000000000004</v>
      </c>
      <c r="Q84" s="79">
        <f t="shared" si="7"/>
        <v>0.12014134275618377</v>
      </c>
      <c r="R84" s="79"/>
      <c r="S84" s="79"/>
      <c r="T84" s="79"/>
      <c r="U84" s="405" t="s">
        <v>192</v>
      </c>
      <c r="V84" s="424">
        <v>0.95</v>
      </c>
      <c r="W84" s="425"/>
      <c r="X84" s="513"/>
    </row>
    <row r="85" spans="1:26 15809:15814">
      <c r="A85" s="42" t="s">
        <v>226</v>
      </c>
      <c r="B85" s="43">
        <v>20</v>
      </c>
      <c r="C85" s="42" t="s">
        <v>67</v>
      </c>
      <c r="D85" s="43" t="s">
        <v>190</v>
      </c>
      <c r="E85" s="44" t="s">
        <v>191</v>
      </c>
      <c r="F85" s="238" t="s">
        <v>118</v>
      </c>
      <c r="G85" s="474" t="s">
        <v>227</v>
      </c>
      <c r="H85" s="42" t="s">
        <v>228</v>
      </c>
      <c r="K85" s="503"/>
      <c r="L85" s="45">
        <v>14.65</v>
      </c>
      <c r="M85" s="45">
        <v>17.36</v>
      </c>
      <c r="N85" s="360"/>
      <c r="O85" s="208" t="s">
        <v>41</v>
      </c>
      <c r="P85" s="46">
        <f t="shared" si="8"/>
        <v>1.7599999999999991</v>
      </c>
      <c r="Q85" s="79">
        <f t="shared" si="7"/>
        <v>0.120136518771331</v>
      </c>
      <c r="R85" s="79"/>
      <c r="S85" s="79"/>
      <c r="T85" s="79"/>
      <c r="U85" s="405" t="s">
        <v>192</v>
      </c>
      <c r="V85" s="424">
        <v>0.95</v>
      </c>
      <c r="W85" s="425"/>
      <c r="X85" s="513"/>
    </row>
    <row r="86" spans="1:26 15809:15814" ht="15.4" customHeight="1">
      <c r="A86" s="42" t="s">
        <v>229</v>
      </c>
      <c r="B86" s="60">
        <v>20</v>
      </c>
      <c r="C86" s="42" t="s">
        <v>67</v>
      </c>
      <c r="D86" s="43">
        <v>1008</v>
      </c>
      <c r="E86" s="44" t="s">
        <v>191</v>
      </c>
      <c r="F86" s="238" t="s">
        <v>118</v>
      </c>
      <c r="G86" s="474" t="s">
        <v>161</v>
      </c>
      <c r="H86" s="42" t="s">
        <v>92</v>
      </c>
      <c r="K86" s="503"/>
      <c r="L86" s="118">
        <v>11</v>
      </c>
      <c r="M86" s="118">
        <f>12.6+0.95</f>
        <v>13.549999999999999</v>
      </c>
      <c r="N86" s="361"/>
      <c r="O86" s="208" t="s">
        <v>41</v>
      </c>
      <c r="P86" s="46">
        <f t="shared" si="8"/>
        <v>1.599999999999999</v>
      </c>
      <c r="Q86" s="79">
        <f t="shared" si="7"/>
        <v>0.14545454545454536</v>
      </c>
      <c r="R86" s="79"/>
      <c r="S86" s="79"/>
      <c r="T86" s="79"/>
      <c r="U86" s="405" t="s">
        <v>192</v>
      </c>
      <c r="V86" s="424">
        <v>0.95</v>
      </c>
      <c r="W86" s="425"/>
      <c r="X86" s="514"/>
    </row>
    <row r="87" spans="1:26 15809:15814" ht="15.4" customHeight="1">
      <c r="A87" s="42" t="s">
        <v>231</v>
      </c>
      <c r="B87" s="60">
        <v>20</v>
      </c>
      <c r="C87" s="42" t="s">
        <v>67</v>
      </c>
      <c r="D87" s="43">
        <v>1008</v>
      </c>
      <c r="E87" s="44" t="s">
        <v>191</v>
      </c>
      <c r="F87" s="238" t="s">
        <v>118</v>
      </c>
      <c r="G87" s="474" t="s">
        <v>232</v>
      </c>
      <c r="H87" s="42" t="s">
        <v>217</v>
      </c>
      <c r="K87" s="502" t="s">
        <v>218</v>
      </c>
      <c r="L87" s="118">
        <v>13.7</v>
      </c>
      <c r="M87" s="118">
        <v>16.53</v>
      </c>
      <c r="N87" s="361"/>
      <c r="O87" s="208" t="s">
        <v>41</v>
      </c>
      <c r="P87" s="46">
        <f t="shared" si="8"/>
        <v>1.8800000000000019</v>
      </c>
      <c r="Q87" s="79">
        <f t="shared" si="7"/>
        <v>0.13722627737226292</v>
      </c>
      <c r="R87" s="79"/>
      <c r="S87" s="79"/>
      <c r="T87" s="79"/>
      <c r="U87" s="405" t="s">
        <v>192</v>
      </c>
      <c r="V87" s="424">
        <v>0.95</v>
      </c>
      <c r="W87" s="425"/>
      <c r="X87" s="514"/>
    </row>
    <row r="88" spans="1:26 15809:15814" ht="15.4" customHeight="1">
      <c r="A88" s="42" t="s">
        <v>233</v>
      </c>
      <c r="B88" s="60">
        <v>20</v>
      </c>
      <c r="C88" s="42" t="s">
        <v>67</v>
      </c>
      <c r="D88" s="43">
        <v>1008</v>
      </c>
      <c r="E88" s="44" t="s">
        <v>191</v>
      </c>
      <c r="F88" s="238" t="s">
        <v>118</v>
      </c>
      <c r="G88" s="474" t="s">
        <v>234</v>
      </c>
      <c r="H88" s="42" t="s">
        <v>92</v>
      </c>
      <c r="K88" s="505"/>
      <c r="L88" s="118">
        <v>13.55</v>
      </c>
      <c r="M88" s="118">
        <v>16.260000000000002</v>
      </c>
      <c r="N88" s="361"/>
      <c r="O88" s="208" t="s">
        <v>41</v>
      </c>
      <c r="P88" s="46">
        <f t="shared" si="8"/>
        <v>1.7600000000000009</v>
      </c>
      <c r="Q88" s="79">
        <f t="shared" si="7"/>
        <v>0.129889298892989</v>
      </c>
      <c r="R88" s="79"/>
      <c r="S88" s="79"/>
      <c r="T88" s="79"/>
      <c r="U88" s="405" t="s">
        <v>192</v>
      </c>
      <c r="V88" s="424">
        <v>0.95</v>
      </c>
      <c r="W88" s="425"/>
      <c r="X88" s="514"/>
    </row>
    <row r="89" spans="1:26 15809:15814" ht="15.4" customHeight="1">
      <c r="A89" s="42" t="s">
        <v>235</v>
      </c>
      <c r="B89" s="60">
        <v>20</v>
      </c>
      <c r="C89" s="42" t="s">
        <v>67</v>
      </c>
      <c r="D89" s="43">
        <v>1008</v>
      </c>
      <c r="E89" s="44" t="s">
        <v>191</v>
      </c>
      <c r="F89" s="238" t="s">
        <v>118</v>
      </c>
      <c r="G89" s="474" t="s">
        <v>236</v>
      </c>
      <c r="H89" s="42"/>
      <c r="K89" s="505"/>
      <c r="L89" s="118">
        <v>13.8</v>
      </c>
      <c r="M89" s="118">
        <v>16.71</v>
      </c>
      <c r="N89" s="361"/>
      <c r="O89" s="208" t="s">
        <v>41</v>
      </c>
      <c r="P89" s="46">
        <f>M89-L89+W89-V89</f>
        <v>1.9600000000000002</v>
      </c>
      <c r="Q89" s="79">
        <f t="shared" si="7"/>
        <v>0.14202898550724638</v>
      </c>
      <c r="R89" s="79"/>
      <c r="S89" s="79"/>
      <c r="T89" s="79"/>
      <c r="U89" s="405" t="s">
        <v>192</v>
      </c>
      <c r="V89" s="424">
        <v>0.95</v>
      </c>
      <c r="W89" s="425"/>
      <c r="X89" s="514"/>
    </row>
    <row r="90" spans="1:26 15809:15814" ht="15.4" customHeight="1">
      <c r="A90" s="42" t="s">
        <v>237</v>
      </c>
      <c r="B90" s="60">
        <v>20</v>
      </c>
      <c r="C90" s="42" t="s">
        <v>67</v>
      </c>
      <c r="D90" s="43">
        <v>1008</v>
      </c>
      <c r="E90" s="44" t="s">
        <v>191</v>
      </c>
      <c r="F90" s="238" t="s">
        <v>118</v>
      </c>
      <c r="G90" s="474" t="s">
        <v>238</v>
      </c>
      <c r="H90" s="42" t="s">
        <v>92</v>
      </c>
      <c r="K90" s="503"/>
      <c r="L90" s="118">
        <v>8.9</v>
      </c>
      <c r="M90" s="118">
        <v>10.9</v>
      </c>
      <c r="N90" s="361"/>
      <c r="O90" s="208" t="s">
        <v>41</v>
      </c>
      <c r="P90" s="46">
        <f t="shared" ref="P90:P92" si="9">M90-L90+W90-V90</f>
        <v>1.05</v>
      </c>
      <c r="Q90" s="79">
        <f t="shared" si="7"/>
        <v>0.11797752808988764</v>
      </c>
      <c r="R90" s="79"/>
      <c r="S90" s="79"/>
      <c r="T90" s="79"/>
      <c r="U90" s="405" t="s">
        <v>192</v>
      </c>
      <c r="V90" s="424">
        <v>0.95</v>
      </c>
      <c r="W90" s="425"/>
      <c r="X90" s="514"/>
      <c r="WJA90" s="42"/>
      <c r="WJB90" s="60"/>
      <c r="WJC90" s="42"/>
      <c r="WJD90" s="43"/>
      <c r="WJE90" s="44"/>
      <c r="WJF90" s="47"/>
    </row>
    <row r="91" spans="1:26 15809:15814" ht="15.4" customHeight="1">
      <c r="A91" s="47" t="s">
        <v>239</v>
      </c>
      <c r="B91" s="60">
        <v>20</v>
      </c>
      <c r="C91" s="42" t="s">
        <v>67</v>
      </c>
      <c r="D91" s="43">
        <v>1008</v>
      </c>
      <c r="E91" s="44" t="s">
        <v>191</v>
      </c>
      <c r="F91" s="238" t="s">
        <v>118</v>
      </c>
      <c r="G91" s="474" t="s">
        <v>240</v>
      </c>
      <c r="H91" s="42" t="s">
        <v>241</v>
      </c>
      <c r="K91" s="503"/>
      <c r="L91" s="176">
        <v>11</v>
      </c>
      <c r="M91" s="176">
        <v>13.61</v>
      </c>
      <c r="N91" s="362"/>
      <c r="O91" s="209" t="s">
        <v>41</v>
      </c>
      <c r="P91" s="46">
        <f t="shared" si="9"/>
        <v>1.6599999999999995</v>
      </c>
      <c r="Q91" s="79">
        <f t="shared" si="7"/>
        <v>0.15090909090909085</v>
      </c>
      <c r="R91" s="79"/>
      <c r="S91" s="79"/>
      <c r="T91" s="79"/>
      <c r="U91" s="405" t="s">
        <v>192</v>
      </c>
      <c r="V91" s="424">
        <v>0.95</v>
      </c>
      <c r="W91" s="425"/>
      <c r="X91" s="514"/>
      <c r="WJA91" s="177"/>
      <c r="WJB91" s="178"/>
      <c r="WJC91" s="177"/>
      <c r="WJD91" s="179"/>
      <c r="WJE91" s="180"/>
      <c r="WJF91" s="177"/>
    </row>
    <row r="92" spans="1:26 15809:15814" ht="15.4" customHeight="1">
      <c r="A92" s="47" t="s">
        <v>242</v>
      </c>
      <c r="B92" s="222">
        <v>20</v>
      </c>
      <c r="C92" s="47" t="s">
        <v>67</v>
      </c>
      <c r="D92" s="223">
        <v>1008</v>
      </c>
      <c r="E92" s="254" t="s">
        <v>191</v>
      </c>
      <c r="F92" s="255" t="s">
        <v>118</v>
      </c>
      <c r="G92" s="474" t="s">
        <v>243</v>
      </c>
      <c r="H92" s="42" t="s">
        <v>244</v>
      </c>
      <c r="K92" s="506"/>
      <c r="L92" s="176">
        <v>17</v>
      </c>
      <c r="M92" s="176">
        <v>20.18</v>
      </c>
      <c r="N92" s="362"/>
      <c r="O92" s="209" t="s">
        <v>41</v>
      </c>
      <c r="P92" s="256">
        <f t="shared" si="9"/>
        <v>2.2299999999999995</v>
      </c>
      <c r="Q92" s="257">
        <f t="shared" si="7"/>
        <v>0.13117647058823526</v>
      </c>
      <c r="R92" s="79"/>
      <c r="S92" s="79"/>
      <c r="T92" s="79"/>
      <c r="U92" s="406" t="s">
        <v>192</v>
      </c>
      <c r="V92" s="426">
        <v>0.95</v>
      </c>
      <c r="W92" s="427"/>
      <c r="X92" s="514"/>
      <c r="WJA92" s="177"/>
      <c r="WJB92" s="178"/>
      <c r="WJC92" s="177"/>
      <c r="WJD92" s="179"/>
      <c r="WJE92" s="180"/>
      <c r="WJF92" s="177"/>
    </row>
    <row r="93" spans="1:26 15809:15814" s="12" customFormat="1" ht="15.4" customHeight="1">
      <c r="A93" s="42" t="s">
        <v>235</v>
      </c>
      <c r="B93" s="222">
        <v>20</v>
      </c>
      <c r="C93" s="47" t="s">
        <v>67</v>
      </c>
      <c r="D93" s="223">
        <v>1008</v>
      </c>
      <c r="E93" s="254" t="s">
        <v>191</v>
      </c>
      <c r="F93" s="255" t="s">
        <v>118</v>
      </c>
      <c r="G93" s="474" t="s">
        <v>236</v>
      </c>
      <c r="H93" s="42"/>
      <c r="I93"/>
      <c r="J93"/>
      <c r="K93" s="503"/>
      <c r="L93" s="118">
        <v>13.8</v>
      </c>
      <c r="M93" s="118">
        <v>16.71</v>
      </c>
      <c r="N93" s="361"/>
      <c r="O93" s="209" t="s">
        <v>41</v>
      </c>
      <c r="P93" s="256">
        <f>M93-L93+W93-V93</f>
        <v>1.9600000000000002</v>
      </c>
      <c r="Q93" s="257">
        <f>P93/L93</f>
        <v>0.14202898550724638</v>
      </c>
      <c r="R93" s="79"/>
      <c r="S93" s="79"/>
      <c r="T93" s="79"/>
      <c r="U93" s="406" t="s">
        <v>192</v>
      </c>
      <c r="V93" s="426">
        <v>0.95</v>
      </c>
      <c r="W93" s="425"/>
      <c r="X93" s="514"/>
      <c r="Y93"/>
      <c r="Z93"/>
      <c r="WJA93" s="42"/>
      <c r="WJB93" s="60"/>
      <c r="WJC93" s="42"/>
      <c r="WJD93" s="43"/>
      <c r="WJE93" s="44"/>
      <c r="WJF93" s="42"/>
    </row>
    <row r="94" spans="1:26 15809:15814" s="12" customFormat="1" ht="15.4" customHeight="1">
      <c r="A94" s="42" t="s">
        <v>245</v>
      </c>
      <c r="B94" s="60">
        <v>100</v>
      </c>
      <c r="C94" s="42" t="s">
        <v>113</v>
      </c>
      <c r="D94" s="43">
        <v>1008</v>
      </c>
      <c r="E94" s="44" t="s">
        <v>191</v>
      </c>
      <c r="F94" s="267" t="s">
        <v>118</v>
      </c>
      <c r="G94" s="474" t="s">
        <v>246</v>
      </c>
      <c r="H94" s="42"/>
      <c r="I94"/>
      <c r="J94"/>
      <c r="K94" s="503"/>
      <c r="L94" s="118">
        <v>8.4</v>
      </c>
      <c r="M94" s="118">
        <v>10.72</v>
      </c>
      <c r="N94" s="361"/>
      <c r="O94" s="208" t="s">
        <v>41</v>
      </c>
      <c r="P94" s="46">
        <f>M94-L94+W94-V94</f>
        <v>1.3700000000000003</v>
      </c>
      <c r="Q94" s="79">
        <f t="shared" ref="Q94:Q95" si="10">P94/L94</f>
        <v>0.16309523809523813</v>
      </c>
      <c r="R94" s="253"/>
      <c r="S94" s="79"/>
      <c r="T94" s="79"/>
      <c r="U94" s="405" t="s">
        <v>192</v>
      </c>
      <c r="V94" s="424">
        <v>0.95</v>
      </c>
      <c r="W94" s="425"/>
      <c r="X94" s="514"/>
      <c r="Y94"/>
      <c r="Z94"/>
      <c r="WJA94" s="42"/>
      <c r="WJB94" s="60"/>
      <c r="WJC94" s="42"/>
      <c r="WJD94" s="43"/>
      <c r="WJE94" s="44"/>
      <c r="WJF94" s="42"/>
    </row>
    <row r="95" spans="1:26 15809:15814" ht="15.4" customHeight="1">
      <c r="A95" s="42" t="s">
        <v>247</v>
      </c>
      <c r="B95" s="60">
        <v>20</v>
      </c>
      <c r="C95" s="47" t="s">
        <v>67</v>
      </c>
      <c r="D95" s="43">
        <v>1008</v>
      </c>
      <c r="E95" s="44" t="s">
        <v>191</v>
      </c>
      <c r="F95" s="267" t="s">
        <v>118</v>
      </c>
      <c r="G95" s="474" t="s">
        <v>248</v>
      </c>
      <c r="H95" s="42"/>
      <c r="K95" s="507"/>
      <c r="L95" s="118">
        <v>10.58</v>
      </c>
      <c r="M95" s="118">
        <v>13.22</v>
      </c>
      <c r="N95" s="361"/>
      <c r="O95" s="208" t="s">
        <v>41</v>
      </c>
      <c r="P95" s="46">
        <f>M95-L95+W95-V95</f>
        <v>1.6900000000000006</v>
      </c>
      <c r="Q95" s="79">
        <f t="shared" si="10"/>
        <v>0.15973534971644618</v>
      </c>
      <c r="R95" s="253"/>
      <c r="S95" s="79"/>
      <c r="T95" s="79"/>
      <c r="U95" s="405" t="s">
        <v>192</v>
      </c>
      <c r="V95" s="424">
        <v>0.95</v>
      </c>
      <c r="W95" s="428"/>
      <c r="X95" s="514"/>
      <c r="WJA95" s="177"/>
      <c r="WJB95" s="178"/>
      <c r="WJC95" s="177"/>
      <c r="WJD95" s="179"/>
      <c r="WJE95" s="180"/>
      <c r="WJF95" s="177"/>
    </row>
    <row r="96" spans="1:26 15809:15814">
      <c r="A96" s="258" t="s">
        <v>249</v>
      </c>
      <c r="B96" s="259" t="str">
        <f>LEFT(A96,3)</f>
        <v>100</v>
      </c>
      <c r="C96" s="258" t="s">
        <v>113</v>
      </c>
      <c r="D96" s="259" t="s">
        <v>250</v>
      </c>
      <c r="E96" s="260" t="s">
        <v>251</v>
      </c>
      <c r="F96" s="261" t="s">
        <v>252</v>
      </c>
      <c r="G96" s="476" t="s">
        <v>253</v>
      </c>
      <c r="H96" s="232"/>
      <c r="K96" s="497" t="s">
        <v>32</v>
      </c>
      <c r="L96" s="262">
        <v>8</v>
      </c>
      <c r="M96" s="262"/>
      <c r="N96" s="363"/>
      <c r="O96" s="263" t="s">
        <v>254</v>
      </c>
      <c r="P96" s="264">
        <f>M96-L96-V96</f>
        <v>-8.6999999999999993</v>
      </c>
      <c r="Q96" s="265" t="e">
        <f>P96/M96</f>
        <v>#DIV/0!</v>
      </c>
      <c r="R96" s="182"/>
      <c r="S96" s="182"/>
      <c r="T96" s="182"/>
      <c r="U96" s="407" t="s">
        <v>26</v>
      </c>
      <c r="V96" s="266">
        <v>0.7</v>
      </c>
      <c r="W96" s="453"/>
      <c r="X96" s="513"/>
    </row>
    <row r="97" spans="1:24">
      <c r="A97" s="9" t="s">
        <v>255</v>
      </c>
      <c r="B97" s="10">
        <v>80</v>
      </c>
      <c r="C97" s="9" t="s">
        <v>30</v>
      </c>
      <c r="D97" s="48">
        <v>1012</v>
      </c>
      <c r="E97" s="11" t="s">
        <v>256</v>
      </c>
      <c r="F97" s="239" t="s">
        <v>39</v>
      </c>
      <c r="G97" s="477" t="s">
        <v>257</v>
      </c>
      <c r="H97" s="9"/>
      <c r="K97" s="502"/>
      <c r="L97" s="13">
        <v>14.95</v>
      </c>
      <c r="M97" s="13">
        <v>15.3</v>
      </c>
      <c r="N97" s="364"/>
      <c r="O97" s="210" t="s">
        <v>41</v>
      </c>
      <c r="P97" s="14">
        <f t="shared" ref="P97:P111" si="11">M97-L97+W97</f>
        <v>0.4500000000000014</v>
      </c>
      <c r="Q97" s="80">
        <f t="shared" ref="Q97:Q160" si="12">P97/L97</f>
        <v>3.010033444816063E-2</v>
      </c>
      <c r="R97" s="80"/>
      <c r="S97" s="80"/>
      <c r="T97" s="80"/>
      <c r="U97" s="408" t="s">
        <v>27</v>
      </c>
      <c r="V97" s="429"/>
      <c r="W97" s="430">
        <v>0.1</v>
      </c>
      <c r="X97" s="514" t="s">
        <v>258</v>
      </c>
    </row>
    <row r="98" spans="1:24">
      <c r="A98" s="9" t="s">
        <v>259</v>
      </c>
      <c r="B98" s="10">
        <v>80</v>
      </c>
      <c r="C98" s="9" t="s">
        <v>30</v>
      </c>
      <c r="D98" s="48">
        <v>1012</v>
      </c>
      <c r="E98" s="11" t="s">
        <v>256</v>
      </c>
      <c r="F98" s="239" t="s">
        <v>39</v>
      </c>
      <c r="G98" s="477" t="s">
        <v>260</v>
      </c>
      <c r="H98" s="9"/>
      <c r="K98" s="501"/>
      <c r="L98" s="13">
        <v>13.9</v>
      </c>
      <c r="M98" s="13">
        <v>14.5</v>
      </c>
      <c r="N98" s="364"/>
      <c r="O98" s="210" t="s">
        <v>41</v>
      </c>
      <c r="P98" s="14">
        <f t="shared" si="11"/>
        <v>0.69999999999999962</v>
      </c>
      <c r="Q98" s="80">
        <f t="shared" si="12"/>
        <v>5.0359712230215799E-2</v>
      </c>
      <c r="R98" s="80"/>
      <c r="S98" s="80"/>
      <c r="T98" s="80"/>
      <c r="U98" s="408" t="s">
        <v>27</v>
      </c>
      <c r="V98" s="429"/>
      <c r="W98" s="430">
        <v>0.1</v>
      </c>
      <c r="X98" s="514"/>
    </row>
    <row r="99" spans="1:24">
      <c r="A99" s="9" t="s">
        <v>261</v>
      </c>
      <c r="B99" s="10">
        <v>80</v>
      </c>
      <c r="C99" s="9" t="s">
        <v>30</v>
      </c>
      <c r="D99" s="48">
        <v>1012</v>
      </c>
      <c r="E99" s="11" t="s">
        <v>256</v>
      </c>
      <c r="F99" s="239" t="s">
        <v>39</v>
      </c>
      <c r="G99" s="477" t="s">
        <v>262</v>
      </c>
      <c r="H99" s="9"/>
      <c r="K99" s="501"/>
      <c r="L99" s="13">
        <v>13.7</v>
      </c>
      <c r="M99" s="13">
        <v>14.25</v>
      </c>
      <c r="N99" s="364"/>
      <c r="O99" s="210" t="s">
        <v>41</v>
      </c>
      <c r="P99" s="14">
        <f t="shared" si="11"/>
        <v>0.65000000000000069</v>
      </c>
      <c r="Q99" s="80">
        <f t="shared" si="12"/>
        <v>4.7445255474452608E-2</v>
      </c>
      <c r="R99" s="80"/>
      <c r="S99" s="80"/>
      <c r="T99" s="80"/>
      <c r="U99" s="408" t="s">
        <v>27</v>
      </c>
      <c r="V99" s="429"/>
      <c r="W99" s="430">
        <v>0.1</v>
      </c>
      <c r="X99" s="514"/>
    </row>
    <row r="100" spans="1:24">
      <c r="A100" s="9" t="s">
        <v>263</v>
      </c>
      <c r="B100" s="48">
        <v>10</v>
      </c>
      <c r="C100" s="49" t="s">
        <v>75</v>
      </c>
      <c r="D100" s="48">
        <v>1012</v>
      </c>
      <c r="E100" s="11" t="s">
        <v>256</v>
      </c>
      <c r="F100" s="239" t="s">
        <v>39</v>
      </c>
      <c r="G100" s="477" t="s">
        <v>264</v>
      </c>
      <c r="H100" s="9"/>
      <c r="K100" s="501"/>
      <c r="L100" s="225">
        <v>7.15</v>
      </c>
      <c r="M100" s="13">
        <v>7.72</v>
      </c>
      <c r="N100" s="364"/>
      <c r="O100" s="210" t="s">
        <v>41</v>
      </c>
      <c r="P100" s="14">
        <f t="shared" si="11"/>
        <v>0.5699999999999994</v>
      </c>
      <c r="Q100" s="80">
        <f t="shared" si="12"/>
        <v>7.9720279720279633E-2</v>
      </c>
      <c r="R100" s="80"/>
      <c r="S100" s="80"/>
      <c r="T100" s="80"/>
      <c r="U100" s="408" t="s">
        <v>27</v>
      </c>
      <c r="V100" s="429"/>
      <c r="W100" s="430"/>
      <c r="X100" s="514"/>
    </row>
    <row r="101" spans="1:24">
      <c r="A101" s="9" t="s">
        <v>265</v>
      </c>
      <c r="B101" s="48">
        <v>10</v>
      </c>
      <c r="C101" s="9" t="s">
        <v>75</v>
      </c>
      <c r="D101" s="48">
        <v>1012</v>
      </c>
      <c r="E101" s="11" t="s">
        <v>256</v>
      </c>
      <c r="F101" s="239" t="s">
        <v>39</v>
      </c>
      <c r="G101" s="477" t="s">
        <v>78</v>
      </c>
      <c r="H101" s="9"/>
      <c r="K101" s="501"/>
      <c r="L101" s="225">
        <v>11.03</v>
      </c>
      <c r="M101" s="13">
        <v>12.15</v>
      </c>
      <c r="N101" s="364"/>
      <c r="O101" s="210" t="s">
        <v>41</v>
      </c>
      <c r="P101" s="14">
        <f t="shared" si="11"/>
        <v>1.120000000000001</v>
      </c>
      <c r="Q101" s="80">
        <f t="shared" si="12"/>
        <v>0.10154125113327299</v>
      </c>
      <c r="R101" s="75"/>
      <c r="S101" s="75"/>
      <c r="T101" s="75"/>
      <c r="U101" s="409" t="s">
        <v>27</v>
      </c>
      <c r="V101" s="429"/>
      <c r="W101" s="430"/>
      <c r="X101" s="514"/>
    </row>
    <row r="102" spans="1:24">
      <c r="A102" s="9" t="s">
        <v>266</v>
      </c>
      <c r="B102" s="10">
        <v>120</v>
      </c>
      <c r="C102" s="9" t="s">
        <v>36</v>
      </c>
      <c r="D102" s="48">
        <v>1012</v>
      </c>
      <c r="E102" s="11" t="s">
        <v>256</v>
      </c>
      <c r="F102" s="239" t="s">
        <v>39</v>
      </c>
      <c r="G102" s="477" t="s">
        <v>40</v>
      </c>
      <c r="H102" s="9"/>
      <c r="K102" s="501"/>
      <c r="L102" s="13">
        <v>12.8</v>
      </c>
      <c r="M102" s="13">
        <v>13.31</v>
      </c>
      <c r="N102" s="364"/>
      <c r="O102" s="210" t="s">
        <v>41</v>
      </c>
      <c r="P102" s="14">
        <f t="shared" si="11"/>
        <v>0.90999999999999981</v>
      </c>
      <c r="Q102" s="80">
        <f t="shared" si="12"/>
        <v>7.1093749999999983E-2</v>
      </c>
      <c r="R102" s="80"/>
      <c r="S102" s="80"/>
      <c r="T102" s="80"/>
      <c r="U102" s="408" t="s">
        <v>27</v>
      </c>
      <c r="V102" s="429"/>
      <c r="W102" s="430">
        <v>0.4</v>
      </c>
      <c r="X102" s="514"/>
    </row>
    <row r="103" spans="1:24">
      <c r="A103" s="9" t="s">
        <v>267</v>
      </c>
      <c r="B103" s="10">
        <v>110</v>
      </c>
      <c r="C103" s="9" t="s">
        <v>80</v>
      </c>
      <c r="D103" s="48">
        <v>1012</v>
      </c>
      <c r="E103" s="11" t="s">
        <v>256</v>
      </c>
      <c r="F103" s="239" t="s">
        <v>39</v>
      </c>
      <c r="G103" s="477" t="s">
        <v>268</v>
      </c>
      <c r="H103" s="9"/>
      <c r="K103" s="501"/>
      <c r="L103" s="13">
        <v>16.350000000000001</v>
      </c>
      <c r="M103" s="13">
        <v>17.25</v>
      </c>
      <c r="N103" s="364"/>
      <c r="O103" s="210" t="s">
        <v>41</v>
      </c>
      <c r="P103" s="14">
        <f t="shared" si="11"/>
        <v>0.89999999999999858</v>
      </c>
      <c r="Q103" s="80">
        <f t="shared" si="12"/>
        <v>5.5045871559632933E-2</v>
      </c>
      <c r="R103" s="80"/>
      <c r="S103" s="80"/>
      <c r="T103" s="80"/>
      <c r="U103" s="408" t="s">
        <v>27</v>
      </c>
      <c r="V103" s="429"/>
      <c r="W103" s="430"/>
      <c r="X103" s="514"/>
    </row>
    <row r="104" spans="1:24">
      <c r="A104" s="9" t="s">
        <v>269</v>
      </c>
      <c r="B104" s="48">
        <v>10</v>
      </c>
      <c r="C104" s="9" t="s">
        <v>75</v>
      </c>
      <c r="D104" s="48">
        <v>1012</v>
      </c>
      <c r="E104" s="11" t="s">
        <v>256</v>
      </c>
      <c r="F104" s="239" t="s">
        <v>39</v>
      </c>
      <c r="G104" s="477" t="s">
        <v>270</v>
      </c>
      <c r="H104" s="9"/>
      <c r="K104" s="501"/>
      <c r="L104" s="225">
        <v>9.5299999999999994</v>
      </c>
      <c r="M104" s="13">
        <v>10.8</v>
      </c>
      <c r="N104" s="364"/>
      <c r="O104" s="210" t="s">
        <v>41</v>
      </c>
      <c r="P104" s="14">
        <f t="shared" si="11"/>
        <v>1.2700000000000014</v>
      </c>
      <c r="Q104" s="80">
        <f t="shared" si="12"/>
        <v>0.1332633788037777</v>
      </c>
      <c r="R104" s="80"/>
      <c r="S104" s="80"/>
      <c r="T104" s="80"/>
      <c r="U104" s="408" t="s">
        <v>27</v>
      </c>
      <c r="V104" s="429"/>
      <c r="W104" s="430"/>
      <c r="X104" s="514"/>
    </row>
    <row r="105" spans="1:24">
      <c r="A105" s="9" t="s">
        <v>271</v>
      </c>
      <c r="B105" s="48">
        <v>20</v>
      </c>
      <c r="C105" s="9" t="s">
        <v>67</v>
      </c>
      <c r="D105" s="48">
        <v>1012</v>
      </c>
      <c r="E105" s="11" t="s">
        <v>256</v>
      </c>
      <c r="F105" s="239" t="s">
        <v>39</v>
      </c>
      <c r="G105" s="477" t="s">
        <v>272</v>
      </c>
      <c r="H105" s="9" t="s">
        <v>273</v>
      </c>
      <c r="K105" s="501"/>
      <c r="L105" s="13">
        <v>10.78</v>
      </c>
      <c r="M105" s="13">
        <v>12.2</v>
      </c>
      <c r="N105" s="364"/>
      <c r="O105" s="210" t="s">
        <v>41</v>
      </c>
      <c r="P105" s="14">
        <f t="shared" si="11"/>
        <v>1.42</v>
      </c>
      <c r="Q105" s="80">
        <f t="shared" si="12"/>
        <v>0.13172541743970315</v>
      </c>
      <c r="R105" s="80"/>
      <c r="S105" s="80"/>
      <c r="T105" s="80"/>
      <c r="U105" s="408" t="s">
        <v>27</v>
      </c>
      <c r="V105" s="429"/>
      <c r="W105" s="430"/>
      <c r="X105" s="514"/>
    </row>
    <row r="106" spans="1:24">
      <c r="A106" s="9" t="s">
        <v>274</v>
      </c>
      <c r="B106" s="48">
        <v>20</v>
      </c>
      <c r="C106" s="9" t="s">
        <v>67</v>
      </c>
      <c r="D106" s="48">
        <v>1012</v>
      </c>
      <c r="E106" s="11" t="s">
        <v>256</v>
      </c>
      <c r="F106" s="239" t="s">
        <v>39</v>
      </c>
      <c r="G106" s="477" t="s">
        <v>234</v>
      </c>
      <c r="H106" s="9" t="s">
        <v>275</v>
      </c>
      <c r="K106" s="501"/>
      <c r="L106" s="13">
        <v>13.55</v>
      </c>
      <c r="M106" s="13">
        <v>14.86</v>
      </c>
      <c r="N106" s="364"/>
      <c r="O106" s="210" t="s">
        <v>41</v>
      </c>
      <c r="P106" s="14">
        <f t="shared" si="11"/>
        <v>1.3099999999999987</v>
      </c>
      <c r="Q106" s="80">
        <f t="shared" si="12"/>
        <v>9.6678966789667795E-2</v>
      </c>
      <c r="R106" s="80"/>
      <c r="S106" s="80"/>
      <c r="T106" s="80"/>
      <c r="U106" s="408" t="s">
        <v>27</v>
      </c>
      <c r="V106" s="429"/>
      <c r="W106" s="430"/>
      <c r="X106" s="514"/>
    </row>
    <row r="107" spans="1:24">
      <c r="A107" s="9" t="s">
        <v>276</v>
      </c>
      <c r="B107" s="10">
        <v>50</v>
      </c>
      <c r="C107" s="9" t="s">
        <v>20</v>
      </c>
      <c r="D107" s="48">
        <v>1012</v>
      </c>
      <c r="E107" s="11" t="s">
        <v>256</v>
      </c>
      <c r="F107" s="239" t="s">
        <v>39</v>
      </c>
      <c r="G107" s="477" t="s">
        <v>277</v>
      </c>
      <c r="H107" s="9"/>
      <c r="K107" s="497" t="s">
        <v>32</v>
      </c>
      <c r="L107" s="225">
        <f>27.804/1.8</f>
        <v>15.446666666666665</v>
      </c>
      <c r="M107" s="13">
        <v>16.22</v>
      </c>
      <c r="N107" s="364"/>
      <c r="O107" s="210" t="s">
        <v>41</v>
      </c>
      <c r="P107" s="14">
        <f t="shared" si="11"/>
        <v>0.87333333333333341</v>
      </c>
      <c r="Q107" s="80">
        <f t="shared" si="12"/>
        <v>5.6538627535606394E-2</v>
      </c>
      <c r="R107" s="80"/>
      <c r="S107" s="80"/>
      <c r="T107" s="80"/>
      <c r="U107" s="409" t="s">
        <v>27</v>
      </c>
      <c r="V107" s="429"/>
      <c r="W107" s="430">
        <v>0.1</v>
      </c>
      <c r="X107" s="514"/>
    </row>
    <row r="108" spans="1:24">
      <c r="A108" s="9" t="s">
        <v>278</v>
      </c>
      <c r="B108" s="48">
        <v>50</v>
      </c>
      <c r="C108" s="9" t="s">
        <v>20</v>
      </c>
      <c r="D108" s="48">
        <v>1012</v>
      </c>
      <c r="E108" s="11" t="s">
        <v>256</v>
      </c>
      <c r="F108" s="239" t="s">
        <v>39</v>
      </c>
      <c r="G108" s="477" t="s">
        <v>279</v>
      </c>
      <c r="H108" s="9"/>
      <c r="K108" s="497" t="s">
        <v>32</v>
      </c>
      <c r="L108" s="225">
        <f>22.32/1.8</f>
        <v>12.4</v>
      </c>
      <c r="M108" s="13">
        <v>13.74</v>
      </c>
      <c r="N108" s="364"/>
      <c r="O108" s="210" t="s">
        <v>41</v>
      </c>
      <c r="P108" s="14">
        <f t="shared" si="11"/>
        <v>1.3399999999999999</v>
      </c>
      <c r="Q108" s="80">
        <f t="shared" si="12"/>
        <v>0.10806451612903224</v>
      </c>
      <c r="R108" s="75"/>
      <c r="S108" s="75"/>
      <c r="T108" s="75"/>
      <c r="U108" s="409" t="s">
        <v>27</v>
      </c>
      <c r="V108" s="429"/>
      <c r="W108" s="430"/>
      <c r="X108" s="514"/>
    </row>
    <row r="109" spans="1:24">
      <c r="A109" s="9" t="s">
        <v>280</v>
      </c>
      <c r="B109" s="48">
        <v>50</v>
      </c>
      <c r="C109" s="9" t="s">
        <v>20</v>
      </c>
      <c r="D109" s="48">
        <v>1012</v>
      </c>
      <c r="E109" s="11" t="s">
        <v>256</v>
      </c>
      <c r="F109" s="239" t="s">
        <v>39</v>
      </c>
      <c r="G109" s="477" t="s">
        <v>281</v>
      </c>
      <c r="H109" s="9"/>
      <c r="K109" s="497" t="s">
        <v>32</v>
      </c>
      <c r="L109" s="225">
        <f>14.844/1.8</f>
        <v>8.2466666666666661</v>
      </c>
      <c r="M109" s="13">
        <v>9.08</v>
      </c>
      <c r="N109" s="364"/>
      <c r="O109" s="210" t="s">
        <v>41</v>
      </c>
      <c r="P109" s="14">
        <f t="shared" si="11"/>
        <v>0.83333333333333393</v>
      </c>
      <c r="Q109" s="80">
        <f t="shared" si="12"/>
        <v>0.10105092966855303</v>
      </c>
      <c r="R109" s="80"/>
      <c r="S109" s="80"/>
      <c r="T109" s="80"/>
      <c r="U109" s="409" t="s">
        <v>27</v>
      </c>
      <c r="V109" s="429"/>
      <c r="W109" s="430"/>
      <c r="X109" s="514"/>
    </row>
    <row r="110" spans="1:24">
      <c r="A110" s="9" t="s">
        <v>282</v>
      </c>
      <c r="B110" s="48">
        <v>50</v>
      </c>
      <c r="C110" s="9" t="s">
        <v>20</v>
      </c>
      <c r="D110" s="48">
        <v>1012</v>
      </c>
      <c r="E110" s="11" t="s">
        <v>256</v>
      </c>
      <c r="F110" s="239" t="s">
        <v>39</v>
      </c>
      <c r="G110" s="477" t="s">
        <v>283</v>
      </c>
      <c r="H110" s="9"/>
      <c r="K110" s="497" t="s">
        <v>32</v>
      </c>
      <c r="L110" s="225">
        <v>12.4</v>
      </c>
      <c r="M110" s="13">
        <v>12.91</v>
      </c>
      <c r="N110" s="364"/>
      <c r="O110" s="210" t="s">
        <v>41</v>
      </c>
      <c r="P110" s="14">
        <f t="shared" si="11"/>
        <v>0.50999999999999979</v>
      </c>
      <c r="Q110" s="80">
        <f t="shared" si="12"/>
        <v>4.1129032258064496E-2</v>
      </c>
      <c r="R110" s="80"/>
      <c r="S110" s="80"/>
      <c r="T110" s="80"/>
      <c r="U110" s="409" t="s">
        <v>27</v>
      </c>
      <c r="V110" s="429"/>
      <c r="W110" s="430"/>
      <c r="X110" s="514"/>
    </row>
    <row r="111" spans="1:24">
      <c r="A111" s="9" t="s">
        <v>284</v>
      </c>
      <c r="B111" s="48">
        <v>50</v>
      </c>
      <c r="C111" s="9" t="s">
        <v>20</v>
      </c>
      <c r="D111" s="48">
        <v>1012</v>
      </c>
      <c r="E111" s="11" t="s">
        <v>256</v>
      </c>
      <c r="F111" s="239" t="s">
        <v>39</v>
      </c>
      <c r="G111" s="477" t="s">
        <v>285</v>
      </c>
      <c r="H111" s="9"/>
      <c r="K111" s="497" t="s">
        <v>32</v>
      </c>
      <c r="L111" s="196" t="s">
        <v>101</v>
      </c>
      <c r="M111" s="13">
        <v>16.260000000000002</v>
      </c>
      <c r="N111" s="364"/>
      <c r="O111" s="210" t="s">
        <v>41</v>
      </c>
      <c r="P111" s="14" t="e">
        <f t="shared" si="11"/>
        <v>#VALUE!</v>
      </c>
      <c r="Q111" s="80" t="e">
        <f t="shared" si="12"/>
        <v>#VALUE!</v>
      </c>
      <c r="R111" s="80"/>
      <c r="S111" s="80"/>
      <c r="T111" s="80"/>
      <c r="U111" s="409" t="s">
        <v>27</v>
      </c>
      <c r="V111" s="429"/>
      <c r="W111" s="430"/>
      <c r="X111" s="514"/>
    </row>
    <row r="112" spans="1:24">
      <c r="A112" s="50" t="s">
        <v>286</v>
      </c>
      <c r="B112" s="52">
        <v>180</v>
      </c>
      <c r="C112" s="50" t="s">
        <v>287</v>
      </c>
      <c r="D112" s="52">
        <v>1014</v>
      </c>
      <c r="E112" s="53" t="s">
        <v>288</v>
      </c>
      <c r="F112" s="240" t="s">
        <v>118</v>
      </c>
      <c r="G112" s="224" t="s">
        <v>289</v>
      </c>
      <c r="H112" s="50"/>
      <c r="K112" s="497" t="s">
        <v>48</v>
      </c>
      <c r="L112" s="55">
        <v>15.6</v>
      </c>
      <c r="M112" s="55">
        <v>16.87</v>
      </c>
      <c r="N112" s="365"/>
      <c r="O112" s="211" t="s">
        <v>41</v>
      </c>
      <c r="P112" s="54">
        <f t="shared" ref="P112:P117" si="13">M112-L112</f>
        <v>1.2700000000000014</v>
      </c>
      <c r="Q112" s="81">
        <f t="shared" si="12"/>
        <v>8.1410256410256496E-2</v>
      </c>
      <c r="R112" s="81"/>
      <c r="S112" s="81"/>
      <c r="T112" s="81"/>
      <c r="U112" s="410" t="s">
        <v>27</v>
      </c>
      <c r="V112" s="51"/>
      <c r="W112" s="454"/>
      <c r="X112" s="514"/>
    </row>
    <row r="113" spans="1:24">
      <c r="A113" s="50" t="s">
        <v>290</v>
      </c>
      <c r="B113" s="52">
        <v>180</v>
      </c>
      <c r="C113" s="50" t="s">
        <v>287</v>
      </c>
      <c r="D113" s="52">
        <v>1014</v>
      </c>
      <c r="E113" s="53" t="s">
        <v>288</v>
      </c>
      <c r="F113" s="240" t="s">
        <v>118</v>
      </c>
      <c r="G113" s="224" t="s">
        <v>291</v>
      </c>
      <c r="H113" s="50"/>
      <c r="K113" s="497" t="s">
        <v>48</v>
      </c>
      <c r="L113" s="55">
        <v>15</v>
      </c>
      <c r="M113" s="55">
        <v>15.61</v>
      </c>
      <c r="N113" s="365"/>
      <c r="O113" s="211" t="s">
        <v>41</v>
      </c>
      <c r="P113" s="54">
        <f t="shared" si="13"/>
        <v>0.60999999999999943</v>
      </c>
      <c r="Q113" s="81">
        <f t="shared" si="12"/>
        <v>4.0666666666666629E-2</v>
      </c>
      <c r="R113" s="81"/>
      <c r="S113" s="81"/>
      <c r="T113" s="81"/>
      <c r="U113" s="410" t="s">
        <v>27</v>
      </c>
      <c r="V113" s="51"/>
      <c r="W113" s="454"/>
      <c r="X113" s="514"/>
    </row>
    <row r="114" spans="1:24" ht="15.4" customHeight="1">
      <c r="A114" s="50" t="s">
        <v>292</v>
      </c>
      <c r="B114" s="52">
        <v>180</v>
      </c>
      <c r="C114" s="50" t="s">
        <v>287</v>
      </c>
      <c r="D114" s="52">
        <v>1014</v>
      </c>
      <c r="E114" s="53" t="s">
        <v>288</v>
      </c>
      <c r="F114" s="240" t="s">
        <v>118</v>
      </c>
      <c r="G114" s="224" t="s">
        <v>81</v>
      </c>
      <c r="H114" s="50"/>
      <c r="K114" s="497" t="s">
        <v>48</v>
      </c>
      <c r="L114" s="55">
        <v>16.399999999999999</v>
      </c>
      <c r="M114" s="55">
        <v>17.72</v>
      </c>
      <c r="N114" s="365"/>
      <c r="O114" s="211" t="s">
        <v>41</v>
      </c>
      <c r="P114" s="54">
        <f t="shared" si="13"/>
        <v>1.3200000000000003</v>
      </c>
      <c r="Q114" s="81">
        <f t="shared" si="12"/>
        <v>8.048780487804881E-2</v>
      </c>
      <c r="R114" s="81"/>
      <c r="S114" s="81"/>
      <c r="T114" s="81"/>
      <c r="U114" s="410" t="s">
        <v>27</v>
      </c>
      <c r="V114" s="51"/>
      <c r="W114" s="454"/>
      <c r="X114" s="514"/>
    </row>
    <row r="115" spans="1:24" ht="15.4" customHeight="1">
      <c r="A115" s="50" t="s">
        <v>293</v>
      </c>
      <c r="B115" s="52">
        <v>180</v>
      </c>
      <c r="C115" s="50" t="s">
        <v>287</v>
      </c>
      <c r="D115" s="52">
        <v>1014</v>
      </c>
      <c r="E115" s="53" t="s">
        <v>288</v>
      </c>
      <c r="F115" s="240" t="s">
        <v>118</v>
      </c>
      <c r="G115" s="224" t="s">
        <v>294</v>
      </c>
      <c r="H115" s="50"/>
      <c r="K115" s="497" t="s">
        <v>48</v>
      </c>
      <c r="L115" s="55">
        <v>18.399999999999999</v>
      </c>
      <c r="M115" s="55">
        <v>19.149999999999999</v>
      </c>
      <c r="N115" s="365"/>
      <c r="O115" s="211" t="s">
        <v>41</v>
      </c>
      <c r="P115" s="54">
        <f t="shared" si="13"/>
        <v>0.75</v>
      </c>
      <c r="Q115" s="81">
        <f t="shared" si="12"/>
        <v>4.0760869565217392E-2</v>
      </c>
      <c r="R115" s="81"/>
      <c r="S115" s="81"/>
      <c r="T115" s="81"/>
      <c r="U115" s="410" t="s">
        <v>27</v>
      </c>
      <c r="V115" s="51"/>
      <c r="W115" s="454"/>
      <c r="X115" s="514"/>
    </row>
    <row r="116" spans="1:24" ht="15.4" customHeight="1">
      <c r="A116" s="50" t="s">
        <v>295</v>
      </c>
      <c r="B116" s="52">
        <v>180</v>
      </c>
      <c r="C116" s="50" t="s">
        <v>287</v>
      </c>
      <c r="D116" s="52">
        <v>1014</v>
      </c>
      <c r="E116" s="53" t="s">
        <v>288</v>
      </c>
      <c r="F116" s="240" t="s">
        <v>118</v>
      </c>
      <c r="G116" s="224" t="s">
        <v>296</v>
      </c>
      <c r="H116" s="50"/>
      <c r="K116" s="497" t="s">
        <v>48</v>
      </c>
      <c r="L116" s="55">
        <v>19.8</v>
      </c>
      <c r="M116" s="55">
        <v>21.78</v>
      </c>
      <c r="N116" s="365"/>
      <c r="O116" s="211" t="s">
        <v>41</v>
      </c>
      <c r="P116" s="54">
        <f t="shared" si="13"/>
        <v>1.9800000000000004</v>
      </c>
      <c r="Q116" s="81">
        <f t="shared" si="12"/>
        <v>0.10000000000000002</v>
      </c>
      <c r="R116" s="81"/>
      <c r="S116" s="81"/>
      <c r="T116" s="81"/>
      <c r="U116" s="410" t="s">
        <v>27</v>
      </c>
      <c r="V116" s="51"/>
      <c r="W116" s="454"/>
      <c r="X116" s="514"/>
    </row>
    <row r="117" spans="1:24" ht="15.4" customHeight="1">
      <c r="A117" s="50" t="s">
        <v>297</v>
      </c>
      <c r="B117" s="52">
        <v>180</v>
      </c>
      <c r="C117" s="50" t="s">
        <v>287</v>
      </c>
      <c r="D117" s="52">
        <v>1014</v>
      </c>
      <c r="E117" s="53" t="s">
        <v>288</v>
      </c>
      <c r="F117" s="240" t="s">
        <v>118</v>
      </c>
      <c r="G117" s="224" t="s">
        <v>298</v>
      </c>
      <c r="H117" s="50"/>
      <c r="K117" s="497" t="s">
        <v>48</v>
      </c>
      <c r="L117" s="55">
        <v>18.8</v>
      </c>
      <c r="M117" s="55">
        <v>20.87</v>
      </c>
      <c r="N117" s="365"/>
      <c r="O117" s="211" t="s">
        <v>41</v>
      </c>
      <c r="P117" s="54">
        <f t="shared" si="13"/>
        <v>2.0700000000000003</v>
      </c>
      <c r="Q117" s="81">
        <f t="shared" si="12"/>
        <v>0.11010638297872341</v>
      </c>
      <c r="R117" s="81"/>
      <c r="S117" s="81"/>
      <c r="T117" s="81"/>
      <c r="U117" s="410" t="s">
        <v>27</v>
      </c>
      <c r="V117" s="51"/>
      <c r="W117" s="454"/>
      <c r="X117" s="514"/>
    </row>
    <row r="118" spans="1:24" ht="15.4" customHeight="1">
      <c r="A118" s="50" t="s">
        <v>299</v>
      </c>
      <c r="B118" s="52">
        <v>20</v>
      </c>
      <c r="C118" s="50" t="s">
        <v>300</v>
      </c>
      <c r="D118" s="52">
        <v>1014</v>
      </c>
      <c r="E118" s="53" t="s">
        <v>288</v>
      </c>
      <c r="F118" s="240" t="s">
        <v>118</v>
      </c>
      <c r="G118" s="224" t="s">
        <v>122</v>
      </c>
      <c r="H118" s="50" t="s">
        <v>92</v>
      </c>
      <c r="K118" s="497" t="s">
        <v>48</v>
      </c>
      <c r="L118" s="55">
        <v>15.15</v>
      </c>
      <c r="M118" s="55">
        <v>16.43</v>
      </c>
      <c r="N118" s="365"/>
      <c r="O118" s="211" t="s">
        <v>41</v>
      </c>
      <c r="P118" s="54">
        <f>M118-L118+W118</f>
        <v>1.6799999999999993</v>
      </c>
      <c r="Q118" s="81">
        <f t="shared" si="12"/>
        <v>0.11089108910891084</v>
      </c>
      <c r="R118" s="81"/>
      <c r="S118" s="81"/>
      <c r="T118" s="81"/>
      <c r="U118" s="410" t="s">
        <v>27</v>
      </c>
      <c r="V118" s="51"/>
      <c r="W118" s="431">
        <v>0.4</v>
      </c>
      <c r="X118" s="514"/>
    </row>
    <row r="119" spans="1:24" ht="15.4" customHeight="1">
      <c r="A119" s="50" t="s">
        <v>301</v>
      </c>
      <c r="B119" s="52">
        <v>20</v>
      </c>
      <c r="C119" s="50" t="s">
        <v>300</v>
      </c>
      <c r="D119" s="52">
        <v>1014</v>
      </c>
      <c r="E119" s="53" t="s">
        <v>288</v>
      </c>
      <c r="F119" s="240" t="s">
        <v>118</v>
      </c>
      <c r="G119" s="224" t="s">
        <v>302</v>
      </c>
      <c r="H119" s="50" t="s">
        <v>92</v>
      </c>
      <c r="K119" s="497" t="s">
        <v>48</v>
      </c>
      <c r="L119" s="55">
        <v>13.3</v>
      </c>
      <c r="M119" s="55">
        <v>14.23</v>
      </c>
      <c r="N119" s="365"/>
      <c r="O119" s="211" t="s">
        <v>41</v>
      </c>
      <c r="P119" s="54">
        <f>M119-L119+W119</f>
        <v>1.3299999999999996</v>
      </c>
      <c r="Q119" s="81">
        <f t="shared" si="12"/>
        <v>9.9999999999999964E-2</v>
      </c>
      <c r="R119" s="81"/>
      <c r="S119" s="81"/>
      <c r="T119" s="81"/>
      <c r="U119" s="410" t="s">
        <v>27</v>
      </c>
      <c r="V119" s="51"/>
      <c r="W119" s="431">
        <v>0.4</v>
      </c>
      <c r="X119" s="514"/>
    </row>
    <row r="120" spans="1:24" ht="15.4" customHeight="1">
      <c r="A120" s="50" t="s">
        <v>303</v>
      </c>
      <c r="B120" s="51">
        <v>120</v>
      </c>
      <c r="C120" s="50" t="s">
        <v>36</v>
      </c>
      <c r="D120" s="52">
        <v>1014</v>
      </c>
      <c r="E120" s="53" t="s">
        <v>288</v>
      </c>
      <c r="F120" s="240" t="s">
        <v>118</v>
      </c>
      <c r="G120" s="224" t="s">
        <v>304</v>
      </c>
      <c r="H120" s="50"/>
      <c r="K120" s="497" t="s">
        <v>48</v>
      </c>
      <c r="L120" s="55">
        <v>14.05</v>
      </c>
      <c r="M120" s="55">
        <v>15.25</v>
      </c>
      <c r="N120" s="365"/>
      <c r="O120" s="211" t="s">
        <v>41</v>
      </c>
      <c r="P120" s="54">
        <f>M120-L120+W120</f>
        <v>1.5999999999999992</v>
      </c>
      <c r="Q120" s="81">
        <f t="shared" si="12"/>
        <v>0.1138790035587188</v>
      </c>
      <c r="R120" s="81"/>
      <c r="S120" s="81"/>
      <c r="T120" s="81"/>
      <c r="U120" s="410" t="s">
        <v>27</v>
      </c>
      <c r="V120" s="432"/>
      <c r="W120" s="431">
        <v>0.4</v>
      </c>
      <c r="X120" s="514"/>
    </row>
    <row r="121" spans="1:24" ht="15.4" customHeight="1">
      <c r="A121" s="50" t="s">
        <v>305</v>
      </c>
      <c r="B121" s="51">
        <v>120</v>
      </c>
      <c r="C121" s="50" t="s">
        <v>36</v>
      </c>
      <c r="D121" s="52">
        <v>1014</v>
      </c>
      <c r="E121" s="53" t="s">
        <v>288</v>
      </c>
      <c r="F121" s="240" t="s">
        <v>118</v>
      </c>
      <c r="G121" s="224" t="s">
        <v>306</v>
      </c>
      <c r="H121" s="50"/>
      <c r="K121" s="497" t="s">
        <v>48</v>
      </c>
      <c r="L121" s="55">
        <v>12.8</v>
      </c>
      <c r="M121" s="55">
        <v>13.7</v>
      </c>
      <c r="N121" s="365"/>
      <c r="O121" s="211" t="s">
        <v>41</v>
      </c>
      <c r="P121" s="54">
        <f>M121-L121+W121</f>
        <v>1.2999999999999985</v>
      </c>
      <c r="Q121" s="81">
        <f t="shared" si="12"/>
        <v>0.10156249999999988</v>
      </c>
      <c r="R121" s="81"/>
      <c r="S121" s="81"/>
      <c r="T121" s="81"/>
      <c r="U121" s="410" t="s">
        <v>27</v>
      </c>
      <c r="V121" s="432"/>
      <c r="W121" s="431">
        <v>0.4</v>
      </c>
      <c r="X121" s="514"/>
    </row>
    <row r="122" spans="1:24" ht="15.4" customHeight="1">
      <c r="A122" s="50" t="s">
        <v>307</v>
      </c>
      <c r="B122" s="52">
        <v>20</v>
      </c>
      <c r="C122" s="50" t="s">
        <v>67</v>
      </c>
      <c r="D122" s="52">
        <v>1014</v>
      </c>
      <c r="E122" s="53" t="s">
        <v>288</v>
      </c>
      <c r="F122" s="240" t="s">
        <v>118</v>
      </c>
      <c r="G122" s="224" t="s">
        <v>308</v>
      </c>
      <c r="H122" s="50" t="s">
        <v>309</v>
      </c>
      <c r="K122" s="497" t="s">
        <v>48</v>
      </c>
      <c r="L122" s="55">
        <v>8.4</v>
      </c>
      <c r="M122" s="55">
        <v>9.25</v>
      </c>
      <c r="N122" s="365"/>
      <c r="O122" s="211" t="s">
        <v>41</v>
      </c>
      <c r="P122" s="54">
        <f>M122-L122+W122</f>
        <v>1.2499999999999996</v>
      </c>
      <c r="Q122" s="81">
        <f t="shared" si="12"/>
        <v>0.14880952380952375</v>
      </c>
      <c r="R122" s="81"/>
      <c r="S122" s="81"/>
      <c r="T122" s="81"/>
      <c r="U122" s="410" t="s">
        <v>27</v>
      </c>
      <c r="V122" s="51"/>
      <c r="W122" s="431">
        <v>0.4</v>
      </c>
      <c r="X122" s="514"/>
    </row>
    <row r="123" spans="1:24" ht="15.4" customHeight="1">
      <c r="A123" s="50" t="s">
        <v>311</v>
      </c>
      <c r="B123" s="51">
        <v>20</v>
      </c>
      <c r="C123" s="50" t="s">
        <v>67</v>
      </c>
      <c r="D123" s="52">
        <v>1014</v>
      </c>
      <c r="E123" s="53" t="s">
        <v>288</v>
      </c>
      <c r="F123" s="240" t="s">
        <v>118</v>
      </c>
      <c r="G123" s="224" t="s">
        <v>312</v>
      </c>
      <c r="H123" s="50" t="s">
        <v>69</v>
      </c>
      <c r="K123" s="497" t="s">
        <v>48</v>
      </c>
      <c r="L123" s="55">
        <v>12.4</v>
      </c>
      <c r="M123" s="55">
        <v>13.39</v>
      </c>
      <c r="N123" s="365"/>
      <c r="O123" s="211" t="s">
        <v>41</v>
      </c>
      <c r="P123" s="54">
        <f>M123-L123</f>
        <v>0.99000000000000021</v>
      </c>
      <c r="Q123" s="81">
        <f t="shared" si="12"/>
        <v>7.9838709677419364E-2</v>
      </c>
      <c r="R123" s="81"/>
      <c r="S123" s="81"/>
      <c r="T123" s="81"/>
      <c r="U123" s="410" t="s">
        <v>27</v>
      </c>
      <c r="V123" s="432"/>
      <c r="W123" s="431"/>
      <c r="X123" s="514"/>
    </row>
    <row r="124" spans="1:24" ht="15.4" customHeight="1">
      <c r="A124" s="50" t="s">
        <v>313</v>
      </c>
      <c r="B124" s="51">
        <v>20</v>
      </c>
      <c r="C124" s="50" t="s">
        <v>67</v>
      </c>
      <c r="D124" s="52">
        <v>1014</v>
      </c>
      <c r="E124" s="53" t="s">
        <v>288</v>
      </c>
      <c r="F124" s="240" t="s">
        <v>118</v>
      </c>
      <c r="G124" s="224" t="s">
        <v>314</v>
      </c>
      <c r="H124" s="50" t="s">
        <v>92</v>
      </c>
      <c r="K124" s="497" t="s">
        <v>48</v>
      </c>
      <c r="L124" s="55">
        <v>11.45</v>
      </c>
      <c r="M124" s="55">
        <v>12.6</v>
      </c>
      <c r="N124" s="365"/>
      <c r="O124" s="211" t="s">
        <v>41</v>
      </c>
      <c r="P124" s="54">
        <f>M124-L124</f>
        <v>1.1500000000000004</v>
      </c>
      <c r="Q124" s="81">
        <f t="shared" si="12"/>
        <v>0.10043668122270746</v>
      </c>
      <c r="R124" s="81"/>
      <c r="S124" s="81"/>
      <c r="T124" s="81"/>
      <c r="U124" s="410" t="s">
        <v>27</v>
      </c>
      <c r="V124" s="432"/>
      <c r="W124" s="431"/>
      <c r="X124" s="514"/>
    </row>
    <row r="125" spans="1:24" ht="15.4" customHeight="1">
      <c r="A125" s="50" t="s">
        <v>315</v>
      </c>
      <c r="B125" s="51">
        <v>180</v>
      </c>
      <c r="C125" s="50" t="s">
        <v>287</v>
      </c>
      <c r="D125" s="52">
        <v>1014</v>
      </c>
      <c r="E125" s="53" t="s">
        <v>288</v>
      </c>
      <c r="F125" s="240" t="s">
        <v>118</v>
      </c>
      <c r="G125" s="224" t="s">
        <v>316</v>
      </c>
      <c r="H125" s="50"/>
      <c r="K125" s="497" t="s">
        <v>48</v>
      </c>
      <c r="L125" s="55">
        <v>18.899999999999999</v>
      </c>
      <c r="M125" s="55">
        <v>20.79</v>
      </c>
      <c r="N125" s="365"/>
      <c r="O125" s="211" t="s">
        <v>41</v>
      </c>
      <c r="P125" s="54">
        <f>M125-L125</f>
        <v>1.8900000000000006</v>
      </c>
      <c r="Q125" s="81">
        <f t="shared" si="12"/>
        <v>0.10000000000000003</v>
      </c>
      <c r="R125" s="81"/>
      <c r="S125" s="81"/>
      <c r="T125" s="81"/>
      <c r="U125" s="410" t="s">
        <v>27</v>
      </c>
      <c r="V125" s="432"/>
      <c r="W125" s="431"/>
      <c r="X125" s="514"/>
    </row>
    <row r="126" spans="1:24" ht="15.4" customHeight="1">
      <c r="A126" s="50" t="s">
        <v>317</v>
      </c>
      <c r="B126" s="51">
        <v>20</v>
      </c>
      <c r="C126" s="50" t="s">
        <v>67</v>
      </c>
      <c r="D126" s="52">
        <v>1014</v>
      </c>
      <c r="E126" s="53" t="s">
        <v>288</v>
      </c>
      <c r="F126" s="240" t="s">
        <v>118</v>
      </c>
      <c r="G126" s="224" t="s">
        <v>161</v>
      </c>
      <c r="H126" s="50" t="s">
        <v>92</v>
      </c>
      <c r="K126" s="497" t="s">
        <v>48</v>
      </c>
      <c r="L126" s="55">
        <v>11</v>
      </c>
      <c r="M126" s="55">
        <v>12.6</v>
      </c>
      <c r="N126" s="365"/>
      <c r="O126" s="211" t="s">
        <v>41</v>
      </c>
      <c r="P126" s="54">
        <f>M126-L126+W126</f>
        <v>1.5999999999999996</v>
      </c>
      <c r="Q126" s="81">
        <f t="shared" si="12"/>
        <v>0.14545454545454542</v>
      </c>
      <c r="R126" s="81"/>
      <c r="S126" s="81"/>
      <c r="T126" s="81"/>
      <c r="U126" s="410" t="s">
        <v>27</v>
      </c>
      <c r="V126" s="432"/>
      <c r="W126" s="431"/>
      <c r="X126" s="514"/>
    </row>
    <row r="127" spans="1:24" ht="15.4" customHeight="1">
      <c r="A127" s="50" t="s">
        <v>318</v>
      </c>
      <c r="B127" s="51">
        <v>180</v>
      </c>
      <c r="C127" s="50" t="s">
        <v>287</v>
      </c>
      <c r="D127" s="52">
        <v>1014</v>
      </c>
      <c r="E127" s="53" t="s">
        <v>288</v>
      </c>
      <c r="F127" s="240" t="s">
        <v>118</v>
      </c>
      <c r="G127" s="224" t="s">
        <v>319</v>
      </c>
      <c r="H127" s="50"/>
      <c r="K127" s="497" t="s">
        <v>48</v>
      </c>
      <c r="L127" s="55">
        <v>15.5</v>
      </c>
      <c r="M127" s="55">
        <v>17.27</v>
      </c>
      <c r="N127" s="365"/>
      <c r="O127" s="211" t="s">
        <v>41</v>
      </c>
      <c r="P127" s="54">
        <f>M127-L127+W127</f>
        <v>1.7699999999999996</v>
      </c>
      <c r="Q127" s="81">
        <f t="shared" si="12"/>
        <v>0.11419354838709675</v>
      </c>
      <c r="R127" s="81"/>
      <c r="S127" s="81"/>
      <c r="T127" s="81"/>
      <c r="U127" s="410" t="s">
        <v>27</v>
      </c>
      <c r="V127" s="432"/>
      <c r="W127" s="431"/>
      <c r="X127" s="514"/>
    </row>
    <row r="128" spans="1:24" ht="15.4" customHeight="1">
      <c r="A128" s="50" t="s">
        <v>320</v>
      </c>
      <c r="B128" s="51">
        <v>180</v>
      </c>
      <c r="C128" s="50" t="s">
        <v>287</v>
      </c>
      <c r="D128" s="52">
        <v>1014</v>
      </c>
      <c r="E128" s="53" t="s">
        <v>288</v>
      </c>
      <c r="F128" s="240" t="s">
        <v>118</v>
      </c>
      <c r="G128" s="224" t="s">
        <v>321</v>
      </c>
      <c r="H128" s="50"/>
      <c r="K128" s="497" t="s">
        <v>48</v>
      </c>
      <c r="L128" s="55">
        <v>16.8</v>
      </c>
      <c r="M128" s="55">
        <v>19.47</v>
      </c>
      <c r="N128" s="365"/>
      <c r="O128" s="211" t="s">
        <v>41</v>
      </c>
      <c r="P128" s="54">
        <f>M128-L128+W128</f>
        <v>2.6699999999999982</v>
      </c>
      <c r="Q128" s="81">
        <f t="shared" si="12"/>
        <v>0.15892857142857131</v>
      </c>
      <c r="R128" s="81"/>
      <c r="S128" s="81"/>
      <c r="T128" s="81"/>
      <c r="U128" s="410" t="s">
        <v>27</v>
      </c>
      <c r="V128" s="432"/>
      <c r="W128" s="431"/>
      <c r="X128" s="514"/>
    </row>
    <row r="129" spans="1:24">
      <c r="A129" s="50" t="s">
        <v>322</v>
      </c>
      <c r="B129" s="52">
        <v>180</v>
      </c>
      <c r="C129" s="50" t="s">
        <v>287</v>
      </c>
      <c r="D129" s="52">
        <v>1014</v>
      </c>
      <c r="E129" s="53" t="s">
        <v>288</v>
      </c>
      <c r="F129" s="240" t="s">
        <v>118</v>
      </c>
      <c r="G129" s="224" t="s">
        <v>323</v>
      </c>
      <c r="H129" s="50"/>
      <c r="K129" s="497" t="s">
        <v>48</v>
      </c>
      <c r="L129" s="55">
        <v>13.3</v>
      </c>
      <c r="M129" s="55">
        <v>14.82</v>
      </c>
      <c r="N129" s="365"/>
      <c r="O129" s="211" t="s">
        <v>41</v>
      </c>
      <c r="P129" s="54">
        <f>M129-L129</f>
        <v>1.5199999999999996</v>
      </c>
      <c r="Q129" s="81">
        <f t="shared" si="12"/>
        <v>0.11428571428571425</v>
      </c>
      <c r="R129" s="81"/>
      <c r="S129" s="81"/>
      <c r="T129" s="81"/>
      <c r="U129" s="410" t="s">
        <v>27</v>
      </c>
      <c r="V129" s="51"/>
      <c r="W129" s="454"/>
      <c r="X129" s="514"/>
    </row>
    <row r="130" spans="1:24">
      <c r="A130" s="50" t="s">
        <v>324</v>
      </c>
      <c r="B130" s="52">
        <v>180</v>
      </c>
      <c r="C130" s="50" t="s">
        <v>287</v>
      </c>
      <c r="D130" s="52">
        <v>1014</v>
      </c>
      <c r="E130" s="53" t="s">
        <v>288</v>
      </c>
      <c r="F130" s="240" t="s">
        <v>118</v>
      </c>
      <c r="G130" s="224" t="s">
        <v>325</v>
      </c>
      <c r="H130" s="50"/>
      <c r="K130" s="497" t="s">
        <v>48</v>
      </c>
      <c r="L130" s="55">
        <v>14.2</v>
      </c>
      <c r="M130" s="55">
        <v>15.76</v>
      </c>
      <c r="N130" s="365"/>
      <c r="O130" s="211" t="s">
        <v>41</v>
      </c>
      <c r="P130" s="54">
        <f>M130-L130</f>
        <v>1.5600000000000005</v>
      </c>
      <c r="Q130" s="81">
        <f t="shared" si="12"/>
        <v>0.1098591549295775</v>
      </c>
      <c r="R130" s="81"/>
      <c r="S130" s="81"/>
      <c r="T130" s="81"/>
      <c r="U130" s="410" t="s">
        <v>27</v>
      </c>
      <c r="V130" s="432"/>
      <c r="W130" s="431"/>
      <c r="X130" s="514"/>
    </row>
    <row r="131" spans="1:24" ht="15.4" customHeight="1">
      <c r="A131" s="50" t="s">
        <v>326</v>
      </c>
      <c r="B131" s="51">
        <v>60</v>
      </c>
      <c r="C131" s="50" t="s">
        <v>327</v>
      </c>
      <c r="D131" s="52">
        <v>1014</v>
      </c>
      <c r="E131" s="53" t="s">
        <v>288</v>
      </c>
      <c r="F131" s="240" t="s">
        <v>118</v>
      </c>
      <c r="G131" s="224" t="s">
        <v>328</v>
      </c>
      <c r="H131" s="50"/>
      <c r="K131" s="502"/>
      <c r="L131" s="55">
        <v>10.199999999999999</v>
      </c>
      <c r="M131" s="55">
        <v>11.33</v>
      </c>
      <c r="N131" s="365"/>
      <c r="O131" s="211" t="s">
        <v>41</v>
      </c>
      <c r="P131" s="54">
        <f>M131-L131</f>
        <v>1.1300000000000008</v>
      </c>
      <c r="Q131" s="81">
        <f t="shared" si="12"/>
        <v>0.11078431372549027</v>
      </c>
      <c r="R131" s="81"/>
      <c r="S131" s="81"/>
      <c r="T131" s="81"/>
      <c r="U131" s="410" t="s">
        <v>27</v>
      </c>
      <c r="V131" s="51"/>
      <c r="W131" s="454"/>
      <c r="X131" s="514"/>
    </row>
    <row r="132" spans="1:24">
      <c r="A132" s="61" t="s">
        <v>329</v>
      </c>
      <c r="B132" s="62">
        <v>120</v>
      </c>
      <c r="C132" s="61" t="s">
        <v>36</v>
      </c>
      <c r="D132" s="63">
        <v>1019</v>
      </c>
      <c r="E132" s="64" t="s">
        <v>330</v>
      </c>
      <c r="F132" s="241" t="s">
        <v>331</v>
      </c>
      <c r="G132" s="478" t="s">
        <v>332</v>
      </c>
      <c r="H132" s="61"/>
      <c r="K132" s="501"/>
      <c r="L132" s="65">
        <v>12.8</v>
      </c>
      <c r="M132" s="65">
        <v>14.32</v>
      </c>
      <c r="N132" s="366"/>
      <c r="O132" s="212" t="s">
        <v>41</v>
      </c>
      <c r="P132" s="66">
        <f t="shared" ref="P132:P141" si="14">M132-L132+W132</f>
        <v>1.9199999999999995</v>
      </c>
      <c r="Q132" s="82">
        <f t="shared" si="12"/>
        <v>0.14999999999999994</v>
      </c>
      <c r="R132" s="82"/>
      <c r="S132" s="82"/>
      <c r="T132" s="82"/>
      <c r="U132" s="411" t="s">
        <v>27</v>
      </c>
      <c r="V132" s="433"/>
      <c r="W132" s="434">
        <v>0.4</v>
      </c>
      <c r="X132" s="514"/>
    </row>
    <row r="133" spans="1:24">
      <c r="A133" s="61" t="s">
        <v>333</v>
      </c>
      <c r="B133" s="62">
        <v>10</v>
      </c>
      <c r="C133" s="61" t="s">
        <v>75</v>
      </c>
      <c r="D133" s="63">
        <v>1019</v>
      </c>
      <c r="E133" s="64" t="s">
        <v>330</v>
      </c>
      <c r="F133" s="241" t="s">
        <v>331</v>
      </c>
      <c r="G133" s="478" t="s">
        <v>334</v>
      </c>
      <c r="H133" s="61"/>
      <c r="K133" s="501" t="s">
        <v>335</v>
      </c>
      <c r="L133" s="268">
        <v>11.25</v>
      </c>
      <c r="M133" s="268">
        <v>12.1</v>
      </c>
      <c r="N133" s="366"/>
      <c r="O133" s="212" t="s">
        <v>41</v>
      </c>
      <c r="P133" s="66">
        <f t="shared" si="14"/>
        <v>0.84999999999999964</v>
      </c>
      <c r="Q133" s="82">
        <f t="shared" si="12"/>
        <v>7.5555555555555529E-2</v>
      </c>
      <c r="R133" s="82"/>
      <c r="S133" s="82"/>
      <c r="T133" s="82"/>
      <c r="U133" s="411" t="s">
        <v>27</v>
      </c>
      <c r="V133" s="433"/>
      <c r="W133" s="434"/>
      <c r="X133" s="514"/>
    </row>
    <row r="134" spans="1:24">
      <c r="A134" s="61" t="s">
        <v>336</v>
      </c>
      <c r="B134" s="62">
        <v>10</v>
      </c>
      <c r="C134" s="61" t="s">
        <v>75</v>
      </c>
      <c r="D134" s="63">
        <v>1019</v>
      </c>
      <c r="E134" s="64" t="s">
        <v>330</v>
      </c>
      <c r="F134" s="241" t="s">
        <v>331</v>
      </c>
      <c r="G134" s="478" t="s">
        <v>337</v>
      </c>
      <c r="H134" s="61"/>
      <c r="K134" s="501" t="s">
        <v>335</v>
      </c>
      <c r="L134" s="268">
        <v>11.03</v>
      </c>
      <c r="M134" s="268">
        <v>11.95</v>
      </c>
      <c r="N134" s="366"/>
      <c r="O134" s="212" t="s">
        <v>41</v>
      </c>
      <c r="P134" s="66">
        <f t="shared" si="14"/>
        <v>0.91999999999999993</v>
      </c>
      <c r="Q134" s="82">
        <f t="shared" si="12"/>
        <v>8.3408884859474161E-2</v>
      </c>
      <c r="R134" s="82"/>
      <c r="S134" s="82"/>
      <c r="T134" s="82"/>
      <c r="U134" s="411" t="s">
        <v>27</v>
      </c>
      <c r="V134" s="433"/>
      <c r="W134" s="434"/>
      <c r="X134" s="514"/>
    </row>
    <row r="135" spans="1:24">
      <c r="A135" s="61" t="s">
        <v>338</v>
      </c>
      <c r="B135" s="62">
        <v>80</v>
      </c>
      <c r="C135" s="61" t="s">
        <v>30</v>
      </c>
      <c r="D135" s="63">
        <v>1019</v>
      </c>
      <c r="E135" s="64" t="s">
        <v>330</v>
      </c>
      <c r="F135" s="241" t="s">
        <v>331</v>
      </c>
      <c r="G135" s="478" t="s">
        <v>339</v>
      </c>
      <c r="H135" s="61"/>
      <c r="K135" s="501"/>
      <c r="L135" s="65">
        <v>13.7</v>
      </c>
      <c r="M135" s="65">
        <v>15.66</v>
      </c>
      <c r="N135" s="366"/>
      <c r="O135" s="212" t="s">
        <v>41</v>
      </c>
      <c r="P135" s="66">
        <f t="shared" si="14"/>
        <v>2.0600000000000009</v>
      </c>
      <c r="Q135" s="82">
        <f t="shared" si="12"/>
        <v>0.15036496350364972</v>
      </c>
      <c r="R135" s="82"/>
      <c r="S135" s="82"/>
      <c r="T135" s="82"/>
      <c r="U135" s="411" t="s">
        <v>27</v>
      </c>
      <c r="V135" s="433"/>
      <c r="W135" s="434">
        <v>0.1</v>
      </c>
      <c r="X135" s="514"/>
    </row>
    <row r="136" spans="1:24">
      <c r="A136" s="61" t="s">
        <v>340</v>
      </c>
      <c r="B136" s="62">
        <v>110</v>
      </c>
      <c r="C136" s="61" t="s">
        <v>80</v>
      </c>
      <c r="D136" s="63">
        <v>1019</v>
      </c>
      <c r="E136" s="64" t="s">
        <v>330</v>
      </c>
      <c r="F136" s="241" t="s">
        <v>331</v>
      </c>
      <c r="G136" s="478" t="s">
        <v>341</v>
      </c>
      <c r="H136" s="61"/>
      <c r="K136" s="501"/>
      <c r="L136" s="65">
        <v>17.350000000000001</v>
      </c>
      <c r="M136" s="65">
        <v>19.8</v>
      </c>
      <c r="N136" s="366"/>
      <c r="O136" s="212" t="s">
        <v>41</v>
      </c>
      <c r="P136" s="66">
        <f t="shared" si="14"/>
        <v>2.4499999999999993</v>
      </c>
      <c r="Q136" s="82">
        <f t="shared" si="12"/>
        <v>0.1412103746397694</v>
      </c>
      <c r="R136" s="82"/>
      <c r="S136" s="82"/>
      <c r="T136" s="82"/>
      <c r="U136" s="411" t="s">
        <v>27</v>
      </c>
      <c r="V136" s="433"/>
      <c r="W136" s="434"/>
      <c r="X136" s="514"/>
    </row>
    <row r="137" spans="1:24">
      <c r="A137" s="61" t="s">
        <v>342</v>
      </c>
      <c r="B137" s="62">
        <v>110</v>
      </c>
      <c r="C137" s="61" t="s">
        <v>80</v>
      </c>
      <c r="D137" s="63">
        <v>1019</v>
      </c>
      <c r="E137" s="64" t="s">
        <v>330</v>
      </c>
      <c r="F137" s="241" t="s">
        <v>331</v>
      </c>
      <c r="G137" s="478" t="s">
        <v>343</v>
      </c>
      <c r="H137" s="61"/>
      <c r="K137" s="497" t="s">
        <v>48</v>
      </c>
      <c r="L137" s="65">
        <v>16.350000000000001</v>
      </c>
      <c r="M137" s="65">
        <v>17.66</v>
      </c>
      <c r="N137" s="366"/>
      <c r="O137" s="212" t="s">
        <v>41</v>
      </c>
      <c r="P137" s="66">
        <f t="shared" si="14"/>
        <v>1.3099999999999987</v>
      </c>
      <c r="Q137" s="82">
        <f t="shared" si="12"/>
        <v>8.0122324159021319E-2</v>
      </c>
      <c r="R137" s="82"/>
      <c r="S137" s="82"/>
      <c r="T137" s="82"/>
      <c r="U137" s="411" t="s">
        <v>27</v>
      </c>
      <c r="V137" s="433"/>
      <c r="W137" s="434"/>
      <c r="X137" s="514"/>
    </row>
    <row r="138" spans="1:24">
      <c r="A138" s="61" t="s">
        <v>344</v>
      </c>
      <c r="B138" s="62">
        <v>80</v>
      </c>
      <c r="C138" s="61" t="s">
        <v>30</v>
      </c>
      <c r="D138" s="63">
        <v>1019</v>
      </c>
      <c r="E138" s="64" t="s">
        <v>330</v>
      </c>
      <c r="F138" s="241" t="s">
        <v>331</v>
      </c>
      <c r="G138" s="478" t="s">
        <v>345</v>
      </c>
      <c r="H138" s="61"/>
      <c r="K138" s="501"/>
      <c r="L138" s="65">
        <v>11.25</v>
      </c>
      <c r="M138" s="65">
        <v>12.94</v>
      </c>
      <c r="N138" s="366"/>
      <c r="O138" s="212" t="s">
        <v>41</v>
      </c>
      <c r="P138" s="66">
        <f t="shared" si="14"/>
        <v>1.6899999999999995</v>
      </c>
      <c r="Q138" s="82">
        <f t="shared" si="12"/>
        <v>0.15022222222222217</v>
      </c>
      <c r="R138" s="82"/>
      <c r="S138" s="82"/>
      <c r="T138" s="82"/>
      <c r="U138" s="411" t="s">
        <v>27</v>
      </c>
      <c r="V138" s="433"/>
      <c r="W138" s="434"/>
      <c r="X138" s="514"/>
    </row>
    <row r="139" spans="1:24">
      <c r="A139" s="61" t="s">
        <v>346</v>
      </c>
      <c r="B139" s="62">
        <v>80</v>
      </c>
      <c r="C139" s="61" t="s">
        <v>30</v>
      </c>
      <c r="D139" s="63">
        <v>1019</v>
      </c>
      <c r="E139" s="64" t="s">
        <v>330</v>
      </c>
      <c r="F139" s="241" t="s">
        <v>331</v>
      </c>
      <c r="G139" s="478" t="s">
        <v>347</v>
      </c>
      <c r="H139" s="61"/>
      <c r="K139" s="501"/>
      <c r="L139" s="65">
        <v>15.25</v>
      </c>
      <c r="M139" s="65">
        <v>17.54</v>
      </c>
      <c r="N139" s="366"/>
      <c r="O139" s="212" t="s">
        <v>41</v>
      </c>
      <c r="P139" s="66">
        <f t="shared" si="14"/>
        <v>2.2899999999999991</v>
      </c>
      <c r="Q139" s="82">
        <f t="shared" si="12"/>
        <v>0.15016393442622944</v>
      </c>
      <c r="R139" s="82"/>
      <c r="S139" s="82"/>
      <c r="T139" s="82"/>
      <c r="U139" s="411" t="s">
        <v>27</v>
      </c>
      <c r="V139" s="433"/>
      <c r="W139" s="434"/>
      <c r="X139" s="514"/>
    </row>
    <row r="140" spans="1:24">
      <c r="A140" s="61" t="s">
        <v>348</v>
      </c>
      <c r="B140" s="62">
        <v>100</v>
      </c>
      <c r="C140" s="61" t="s">
        <v>113</v>
      </c>
      <c r="D140" s="63">
        <v>1019</v>
      </c>
      <c r="E140" s="64" t="s">
        <v>330</v>
      </c>
      <c r="F140" s="241" t="s">
        <v>331</v>
      </c>
      <c r="G140" s="478" t="s">
        <v>349</v>
      </c>
      <c r="H140" s="61"/>
      <c r="K140" s="501"/>
      <c r="L140" s="65">
        <v>8.4</v>
      </c>
      <c r="M140" s="65">
        <v>9</v>
      </c>
      <c r="N140" s="366"/>
      <c r="O140" s="212" t="s">
        <v>41</v>
      </c>
      <c r="P140" s="66">
        <f t="shared" si="14"/>
        <v>0.59999999999999964</v>
      </c>
      <c r="Q140" s="82">
        <f t="shared" si="12"/>
        <v>7.1428571428571383E-2</v>
      </c>
      <c r="R140" s="82"/>
      <c r="S140" s="82"/>
      <c r="T140" s="82"/>
      <c r="U140" s="411" t="s">
        <v>27</v>
      </c>
      <c r="V140" s="433"/>
      <c r="W140" s="434"/>
      <c r="X140" s="514"/>
    </row>
    <row r="141" spans="1:24">
      <c r="A141" s="61" t="s">
        <v>350</v>
      </c>
      <c r="B141" s="62">
        <v>10</v>
      </c>
      <c r="C141" s="61" t="s">
        <v>75</v>
      </c>
      <c r="D141" s="63">
        <v>1019</v>
      </c>
      <c r="E141" s="64" t="s">
        <v>330</v>
      </c>
      <c r="F141" s="241" t="s">
        <v>331</v>
      </c>
      <c r="G141" s="478" t="s">
        <v>351</v>
      </c>
      <c r="H141" s="61"/>
      <c r="K141" s="501"/>
      <c r="L141" s="268">
        <v>9.5299999999999994</v>
      </c>
      <c r="M141" s="65">
        <v>10.81</v>
      </c>
      <c r="N141" s="366"/>
      <c r="O141" s="212" t="s">
        <v>41</v>
      </c>
      <c r="P141" s="66">
        <f t="shared" si="14"/>
        <v>1.2800000000000011</v>
      </c>
      <c r="Q141" s="82">
        <f t="shared" si="12"/>
        <v>0.13431269674711449</v>
      </c>
      <c r="R141" s="82"/>
      <c r="S141" s="82"/>
      <c r="T141" s="82"/>
      <c r="U141" s="411" t="s">
        <v>27</v>
      </c>
      <c r="V141" s="433"/>
      <c r="W141" s="435"/>
      <c r="X141" s="514"/>
    </row>
    <row r="142" spans="1:24">
      <c r="A142" s="67" t="s">
        <v>352</v>
      </c>
      <c r="B142" s="69">
        <v>20</v>
      </c>
      <c r="C142" s="67" t="s">
        <v>67</v>
      </c>
      <c r="D142" s="70">
        <v>1020</v>
      </c>
      <c r="E142" s="71" t="s">
        <v>353</v>
      </c>
      <c r="F142" s="242" t="s">
        <v>39</v>
      </c>
      <c r="G142" s="479" t="s">
        <v>122</v>
      </c>
      <c r="H142" s="67" t="s">
        <v>92</v>
      </c>
      <c r="K142" s="497" t="s">
        <v>48</v>
      </c>
      <c r="L142" s="68">
        <v>15.15</v>
      </c>
      <c r="M142" s="68">
        <v>17.05</v>
      </c>
      <c r="N142" s="367"/>
      <c r="O142" s="213" t="s">
        <v>230</v>
      </c>
      <c r="P142" s="68">
        <f t="shared" ref="P142:P167" si="15">M142-L142-V142+W142</f>
        <v>1.4000000000000004</v>
      </c>
      <c r="Q142" s="83">
        <f t="shared" si="12"/>
        <v>9.2409240924092431E-2</v>
      </c>
      <c r="R142" s="83"/>
      <c r="S142" s="83"/>
      <c r="T142" s="83"/>
      <c r="U142" s="412" t="s">
        <v>354</v>
      </c>
      <c r="V142" s="436">
        <v>0.9</v>
      </c>
      <c r="W142" s="437">
        <v>0.4</v>
      </c>
      <c r="X142" s="514"/>
    </row>
    <row r="143" spans="1:24">
      <c r="A143" s="285" t="s">
        <v>355</v>
      </c>
      <c r="B143" s="72">
        <v>20</v>
      </c>
      <c r="C143" s="67" t="s">
        <v>67</v>
      </c>
      <c r="D143" s="73">
        <v>1020</v>
      </c>
      <c r="E143" s="74" t="s">
        <v>353</v>
      </c>
      <c r="F143" s="242" t="s">
        <v>39</v>
      </c>
      <c r="G143" s="479" t="s">
        <v>68</v>
      </c>
      <c r="H143" s="67" t="s">
        <v>69</v>
      </c>
      <c r="K143" s="497" t="s">
        <v>48</v>
      </c>
      <c r="L143" s="68">
        <v>10.85</v>
      </c>
      <c r="M143" s="68">
        <v>13.27</v>
      </c>
      <c r="N143" s="367"/>
      <c r="O143" s="213" t="s">
        <v>230</v>
      </c>
      <c r="P143" s="68">
        <f t="shared" si="15"/>
        <v>1.52</v>
      </c>
      <c r="Q143" s="83">
        <f t="shared" si="12"/>
        <v>0.1400921658986175</v>
      </c>
      <c r="R143" s="83"/>
      <c r="S143" s="83"/>
      <c r="T143" s="83"/>
      <c r="U143" s="412" t="s">
        <v>354</v>
      </c>
      <c r="V143" s="436">
        <v>0.9</v>
      </c>
      <c r="W143" s="437"/>
      <c r="X143" s="514"/>
    </row>
    <row r="144" spans="1:24">
      <c r="A144" s="67" t="s">
        <v>356</v>
      </c>
      <c r="B144" s="69">
        <v>20</v>
      </c>
      <c r="C144" s="67" t="s">
        <v>67</v>
      </c>
      <c r="D144" s="70">
        <v>1020</v>
      </c>
      <c r="E144" s="71" t="s">
        <v>353</v>
      </c>
      <c r="F144" s="242" t="s">
        <v>39</v>
      </c>
      <c r="G144" s="479" t="s">
        <v>357</v>
      </c>
      <c r="H144" s="67" t="s">
        <v>358</v>
      </c>
      <c r="K144" s="497" t="s">
        <v>48</v>
      </c>
      <c r="L144" s="68">
        <v>11.45</v>
      </c>
      <c r="M144" s="68">
        <v>13.79</v>
      </c>
      <c r="N144" s="367"/>
      <c r="O144" s="213" t="s">
        <v>230</v>
      </c>
      <c r="P144" s="68">
        <f t="shared" si="15"/>
        <v>1.44</v>
      </c>
      <c r="Q144" s="83">
        <f t="shared" si="12"/>
        <v>0.125764192139738</v>
      </c>
      <c r="R144" s="83"/>
      <c r="S144" s="83"/>
      <c r="T144" s="83"/>
      <c r="U144" s="412" t="s">
        <v>354</v>
      </c>
      <c r="V144" s="436">
        <v>0.9</v>
      </c>
      <c r="W144" s="437"/>
      <c r="X144" s="514"/>
    </row>
    <row r="145" spans="1:24">
      <c r="A145" s="67" t="s">
        <v>359</v>
      </c>
      <c r="B145" s="69">
        <v>80</v>
      </c>
      <c r="C145" s="67" t="s">
        <v>30</v>
      </c>
      <c r="D145" s="70">
        <v>1020</v>
      </c>
      <c r="E145" s="71" t="s">
        <v>353</v>
      </c>
      <c r="F145" s="242" t="s">
        <v>39</v>
      </c>
      <c r="G145" s="479" t="s">
        <v>114</v>
      </c>
      <c r="H145" s="67"/>
      <c r="K145" s="497" t="s">
        <v>48</v>
      </c>
      <c r="L145" s="68">
        <v>10.5</v>
      </c>
      <c r="M145" s="68">
        <v>12.38</v>
      </c>
      <c r="N145" s="367"/>
      <c r="O145" s="213" t="s">
        <v>230</v>
      </c>
      <c r="P145" s="68">
        <f t="shared" si="15"/>
        <v>0.98000000000000076</v>
      </c>
      <c r="Q145" s="83">
        <f t="shared" si="12"/>
        <v>9.3333333333333407E-2</v>
      </c>
      <c r="R145" s="83"/>
      <c r="S145" s="83"/>
      <c r="T145" s="83"/>
      <c r="U145" s="412" t="s">
        <v>354</v>
      </c>
      <c r="V145" s="436">
        <v>0.9</v>
      </c>
      <c r="W145" s="437"/>
      <c r="X145" s="514"/>
    </row>
    <row r="146" spans="1:24">
      <c r="A146" s="67" t="s">
        <v>360</v>
      </c>
      <c r="B146" s="69">
        <v>80</v>
      </c>
      <c r="C146" s="67" t="s">
        <v>30</v>
      </c>
      <c r="D146" s="70">
        <v>1020</v>
      </c>
      <c r="E146" s="71" t="s">
        <v>353</v>
      </c>
      <c r="F146" s="242" t="s">
        <v>39</v>
      </c>
      <c r="G146" s="479" t="s">
        <v>361</v>
      </c>
      <c r="H146" s="67"/>
      <c r="K146" s="497" t="s">
        <v>48</v>
      </c>
      <c r="L146" s="68">
        <v>15.25</v>
      </c>
      <c r="M146" s="68">
        <v>17.309999999999999</v>
      </c>
      <c r="N146" s="367"/>
      <c r="O146" s="213" t="s">
        <v>230</v>
      </c>
      <c r="P146" s="68">
        <f t="shared" si="15"/>
        <v>1.2599999999999989</v>
      </c>
      <c r="Q146" s="83">
        <f t="shared" si="12"/>
        <v>8.2622950819672053E-2</v>
      </c>
      <c r="R146" s="83"/>
      <c r="S146" s="83"/>
      <c r="T146" s="83"/>
      <c r="U146" s="412" t="s">
        <v>354</v>
      </c>
      <c r="V146" s="436">
        <v>0.9</v>
      </c>
      <c r="W146" s="437">
        <v>0.1</v>
      </c>
      <c r="X146" s="514"/>
    </row>
    <row r="147" spans="1:24">
      <c r="A147" s="67" t="s">
        <v>362</v>
      </c>
      <c r="B147" s="69">
        <v>80</v>
      </c>
      <c r="C147" s="67" t="s">
        <v>30</v>
      </c>
      <c r="D147" s="70">
        <v>1020</v>
      </c>
      <c r="E147" s="71" t="s">
        <v>353</v>
      </c>
      <c r="F147" s="242" t="s">
        <v>39</v>
      </c>
      <c r="G147" s="479" t="s">
        <v>363</v>
      </c>
      <c r="H147" s="67"/>
      <c r="K147" s="497" t="s">
        <v>48</v>
      </c>
      <c r="L147" s="68">
        <v>18.75</v>
      </c>
      <c r="M147" s="68">
        <v>20.81</v>
      </c>
      <c r="N147" s="367"/>
      <c r="O147" s="213" t="s">
        <v>230</v>
      </c>
      <c r="P147" s="68">
        <f t="shared" si="15"/>
        <v>1.1599999999999988</v>
      </c>
      <c r="Q147" s="83">
        <f t="shared" si="12"/>
        <v>6.1866666666666605E-2</v>
      </c>
      <c r="R147" s="83"/>
      <c r="S147" s="83"/>
      <c r="T147" s="83"/>
      <c r="U147" s="412" t="s">
        <v>354</v>
      </c>
      <c r="V147" s="436">
        <v>0.9</v>
      </c>
      <c r="W147" s="437"/>
      <c r="X147" s="514"/>
    </row>
    <row r="148" spans="1:24">
      <c r="A148" s="67" t="s">
        <v>364</v>
      </c>
      <c r="B148" s="69">
        <v>80</v>
      </c>
      <c r="C148" s="67" t="s">
        <v>30</v>
      </c>
      <c r="D148" s="70">
        <v>1020</v>
      </c>
      <c r="E148" s="71" t="s">
        <v>353</v>
      </c>
      <c r="F148" s="242" t="s">
        <v>39</v>
      </c>
      <c r="G148" s="479" t="s">
        <v>365</v>
      </c>
      <c r="H148" s="67"/>
      <c r="K148" s="497" t="s">
        <v>48</v>
      </c>
      <c r="L148" s="68">
        <v>16.850000000000001</v>
      </c>
      <c r="M148" s="68">
        <v>19.04</v>
      </c>
      <c r="N148" s="367"/>
      <c r="O148" s="213" t="s">
        <v>230</v>
      </c>
      <c r="P148" s="68">
        <f t="shared" si="15"/>
        <v>1.2899999999999978</v>
      </c>
      <c r="Q148" s="83">
        <f t="shared" si="12"/>
        <v>7.6557863501483539E-2</v>
      </c>
      <c r="R148" s="83"/>
      <c r="S148" s="83"/>
      <c r="T148" s="83"/>
      <c r="U148" s="412" t="s">
        <v>354</v>
      </c>
      <c r="V148" s="436">
        <v>0.9</v>
      </c>
      <c r="W148" s="437"/>
      <c r="X148" s="514"/>
    </row>
    <row r="149" spans="1:24">
      <c r="A149" s="67" t="s">
        <v>366</v>
      </c>
      <c r="B149" s="69">
        <v>80</v>
      </c>
      <c r="C149" s="67" t="s">
        <v>30</v>
      </c>
      <c r="D149" s="70">
        <v>1020</v>
      </c>
      <c r="E149" s="71" t="s">
        <v>353</v>
      </c>
      <c r="F149" s="242" t="s">
        <v>39</v>
      </c>
      <c r="G149" s="479" t="s">
        <v>367</v>
      </c>
      <c r="H149" s="67"/>
      <c r="K149" s="497" t="s">
        <v>48</v>
      </c>
      <c r="L149" s="68">
        <v>15.25</v>
      </c>
      <c r="M149" s="68">
        <v>18.29</v>
      </c>
      <c r="N149" s="367"/>
      <c r="O149" s="213" t="s">
        <v>230</v>
      </c>
      <c r="P149" s="68">
        <f t="shared" si="15"/>
        <v>2.1399999999999992</v>
      </c>
      <c r="Q149" s="83">
        <f t="shared" si="12"/>
        <v>0.14032786885245896</v>
      </c>
      <c r="R149" s="83"/>
      <c r="S149" s="83"/>
      <c r="T149" s="83"/>
      <c r="U149" s="412" t="s">
        <v>354</v>
      </c>
      <c r="V149" s="436">
        <v>0.9</v>
      </c>
      <c r="W149" s="437"/>
      <c r="X149" s="514"/>
    </row>
    <row r="150" spans="1:24">
      <c r="A150" s="67" t="s">
        <v>368</v>
      </c>
      <c r="B150" s="69">
        <v>80</v>
      </c>
      <c r="C150" s="67" t="s">
        <v>30</v>
      </c>
      <c r="D150" s="70">
        <v>1020</v>
      </c>
      <c r="E150" s="71" t="s">
        <v>353</v>
      </c>
      <c r="F150" s="242" t="s">
        <v>39</v>
      </c>
      <c r="G150" s="479" t="s">
        <v>321</v>
      </c>
      <c r="H150" s="67"/>
      <c r="K150" s="497" t="s">
        <v>48</v>
      </c>
      <c r="L150" s="68">
        <v>17.7</v>
      </c>
      <c r="M150" s="68">
        <v>21.15</v>
      </c>
      <c r="N150" s="367"/>
      <c r="O150" s="213" t="s">
        <v>230</v>
      </c>
      <c r="P150" s="68">
        <f t="shared" si="15"/>
        <v>2.5499999999999994</v>
      </c>
      <c r="Q150" s="83">
        <f t="shared" si="12"/>
        <v>0.14406779661016947</v>
      </c>
      <c r="R150" s="83"/>
      <c r="S150" s="83"/>
      <c r="T150" s="83"/>
      <c r="U150" s="412" t="s">
        <v>354</v>
      </c>
      <c r="V150" s="436">
        <v>0.9</v>
      </c>
      <c r="W150" s="437"/>
      <c r="X150" s="514"/>
    </row>
    <row r="151" spans="1:24">
      <c r="A151" s="67" t="s">
        <v>369</v>
      </c>
      <c r="B151" s="69">
        <v>80</v>
      </c>
      <c r="C151" s="67" t="s">
        <v>30</v>
      </c>
      <c r="D151" s="70">
        <v>1020</v>
      </c>
      <c r="E151" s="71" t="s">
        <v>353</v>
      </c>
      <c r="F151" s="242" t="s">
        <v>39</v>
      </c>
      <c r="G151" s="479" t="s">
        <v>370</v>
      </c>
      <c r="H151" s="67"/>
      <c r="K151" s="497" t="s">
        <v>48</v>
      </c>
      <c r="L151" s="68">
        <v>15.7</v>
      </c>
      <c r="M151" s="68">
        <v>18.75</v>
      </c>
      <c r="N151" s="367"/>
      <c r="O151" s="213" t="s">
        <v>230</v>
      </c>
      <c r="P151" s="68">
        <f t="shared" si="15"/>
        <v>2.1500000000000008</v>
      </c>
      <c r="Q151" s="83">
        <f t="shared" si="12"/>
        <v>0.13694267515923572</v>
      </c>
      <c r="R151" s="83"/>
      <c r="S151" s="83"/>
      <c r="T151" s="83"/>
      <c r="U151" s="412" t="s">
        <v>354</v>
      </c>
      <c r="V151" s="436">
        <v>0.9</v>
      </c>
      <c r="W151" s="437"/>
      <c r="X151" s="514"/>
    </row>
    <row r="152" spans="1:24">
      <c r="A152" s="67" t="s">
        <v>371</v>
      </c>
      <c r="B152" s="69">
        <v>80</v>
      </c>
      <c r="C152" s="67" t="s">
        <v>30</v>
      </c>
      <c r="D152" s="70">
        <v>1020</v>
      </c>
      <c r="E152" s="71" t="s">
        <v>353</v>
      </c>
      <c r="F152" s="242" t="s">
        <v>39</v>
      </c>
      <c r="G152" s="479" t="s">
        <v>372</v>
      </c>
      <c r="H152" s="67"/>
      <c r="K152" s="497" t="s">
        <v>48</v>
      </c>
      <c r="L152" s="68">
        <v>11.25</v>
      </c>
      <c r="M152" s="68">
        <v>13.69</v>
      </c>
      <c r="N152" s="367"/>
      <c r="O152" s="213" t="s">
        <v>230</v>
      </c>
      <c r="P152" s="68">
        <f t="shared" si="15"/>
        <v>1.5399999999999996</v>
      </c>
      <c r="Q152" s="83">
        <f t="shared" si="12"/>
        <v>0.13688888888888887</v>
      </c>
      <c r="R152" s="83"/>
      <c r="S152" s="83"/>
      <c r="T152" s="83"/>
      <c r="U152" s="412" t="s">
        <v>354</v>
      </c>
      <c r="V152" s="436">
        <v>0.9</v>
      </c>
      <c r="W152" s="437"/>
      <c r="X152" s="514"/>
    </row>
    <row r="153" spans="1:24">
      <c r="A153" s="67" t="s">
        <v>373</v>
      </c>
      <c r="B153" s="69">
        <v>80</v>
      </c>
      <c r="C153" s="67" t="s">
        <v>30</v>
      </c>
      <c r="D153" s="70">
        <v>1020</v>
      </c>
      <c r="E153" s="71" t="s">
        <v>353</v>
      </c>
      <c r="F153" s="242" t="s">
        <v>39</v>
      </c>
      <c r="G153" s="479" t="s">
        <v>374</v>
      </c>
      <c r="H153" s="67"/>
      <c r="K153" s="497" t="s">
        <v>48</v>
      </c>
      <c r="L153" s="68">
        <v>15.1</v>
      </c>
      <c r="M153" s="68">
        <v>17.87</v>
      </c>
      <c r="N153" s="367"/>
      <c r="O153" s="213" t="s">
        <v>230</v>
      </c>
      <c r="P153" s="68">
        <f t="shared" si="15"/>
        <v>1.8700000000000014</v>
      </c>
      <c r="Q153" s="83">
        <f t="shared" si="12"/>
        <v>0.1238410596026491</v>
      </c>
      <c r="R153" s="83"/>
      <c r="S153" s="83"/>
      <c r="T153" s="83"/>
      <c r="U153" s="412" t="s">
        <v>354</v>
      </c>
      <c r="V153" s="436">
        <v>0.9</v>
      </c>
      <c r="W153" s="437"/>
      <c r="X153" s="514"/>
    </row>
    <row r="154" spans="1:24">
      <c r="A154" s="67" t="s">
        <v>375</v>
      </c>
      <c r="B154" s="69">
        <v>80</v>
      </c>
      <c r="C154" s="67" t="s">
        <v>30</v>
      </c>
      <c r="D154" s="70">
        <v>1020</v>
      </c>
      <c r="E154" s="71" t="s">
        <v>353</v>
      </c>
      <c r="F154" s="242" t="s">
        <v>39</v>
      </c>
      <c r="G154" s="479" t="s">
        <v>294</v>
      </c>
      <c r="H154" s="67"/>
      <c r="K154" s="497" t="s">
        <v>48</v>
      </c>
      <c r="L154" s="68">
        <v>19</v>
      </c>
      <c r="M154" s="181">
        <v>22.2</v>
      </c>
      <c r="N154" s="367"/>
      <c r="O154" s="213" t="s">
        <v>230</v>
      </c>
      <c r="P154" s="68">
        <f t="shared" si="15"/>
        <v>2.2999999999999994</v>
      </c>
      <c r="Q154" s="83">
        <f t="shared" si="12"/>
        <v>0.12105263157894734</v>
      </c>
      <c r="R154" s="83"/>
      <c r="S154" s="83"/>
      <c r="T154" s="83"/>
      <c r="U154" s="412" t="s">
        <v>354</v>
      </c>
      <c r="V154" s="436">
        <v>0.9</v>
      </c>
      <c r="W154" s="437"/>
      <c r="X154" s="514"/>
    </row>
    <row r="155" spans="1:24">
      <c r="A155" s="84" t="s">
        <v>376</v>
      </c>
      <c r="B155" s="85">
        <v>120</v>
      </c>
      <c r="C155" s="84" t="s">
        <v>36</v>
      </c>
      <c r="D155" s="86">
        <v>1021</v>
      </c>
      <c r="E155" s="87" t="s">
        <v>377</v>
      </c>
      <c r="F155" s="243" t="s">
        <v>378</v>
      </c>
      <c r="G155" s="480" t="s">
        <v>40</v>
      </c>
      <c r="H155" s="84"/>
      <c r="K155" s="501"/>
      <c r="L155" s="88">
        <v>12.8</v>
      </c>
      <c r="M155" s="88">
        <v>13.55</v>
      </c>
      <c r="N155" s="368"/>
      <c r="O155" s="214" t="s">
        <v>41</v>
      </c>
      <c r="P155" s="88">
        <f t="shared" si="15"/>
        <v>1.1499999999999999</v>
      </c>
      <c r="Q155" s="90">
        <f t="shared" si="12"/>
        <v>8.9843749999999986E-2</v>
      </c>
      <c r="R155" s="90"/>
      <c r="S155" s="90"/>
      <c r="T155" s="90"/>
      <c r="U155" s="413" t="s">
        <v>27</v>
      </c>
      <c r="V155" s="438"/>
      <c r="W155" s="439">
        <v>0.4</v>
      </c>
      <c r="X155" s="514"/>
    </row>
    <row r="156" spans="1:24">
      <c r="A156" s="84" t="s">
        <v>379</v>
      </c>
      <c r="B156" s="85">
        <v>50</v>
      </c>
      <c r="C156" s="84" t="s">
        <v>20</v>
      </c>
      <c r="D156" s="86">
        <v>1021</v>
      </c>
      <c r="E156" s="87" t="s">
        <v>377</v>
      </c>
      <c r="F156" s="243" t="s">
        <v>378</v>
      </c>
      <c r="G156" s="480" t="s">
        <v>40</v>
      </c>
      <c r="H156" s="84"/>
      <c r="K156" s="501"/>
      <c r="L156" s="88">
        <v>12.98</v>
      </c>
      <c r="M156" s="88">
        <v>13.55</v>
      </c>
      <c r="N156" s="368"/>
      <c r="O156" s="214" t="s">
        <v>41</v>
      </c>
      <c r="P156" s="88">
        <f t="shared" si="15"/>
        <v>0.97000000000000031</v>
      </c>
      <c r="Q156" s="90">
        <f t="shared" si="12"/>
        <v>7.4730354391371365E-2</v>
      </c>
      <c r="R156" s="90"/>
      <c r="S156" s="90"/>
      <c r="T156" s="90"/>
      <c r="U156" s="413" t="s">
        <v>27</v>
      </c>
      <c r="V156" s="438"/>
      <c r="W156" s="439">
        <v>0.4</v>
      </c>
      <c r="X156" s="514"/>
    </row>
    <row r="157" spans="1:24">
      <c r="A157" s="84" t="s">
        <v>380</v>
      </c>
      <c r="B157" s="85">
        <v>80</v>
      </c>
      <c r="C157" s="84" t="s">
        <v>30</v>
      </c>
      <c r="D157" s="86">
        <v>1021</v>
      </c>
      <c r="E157" s="87" t="s">
        <v>377</v>
      </c>
      <c r="F157" s="243" t="s">
        <v>378</v>
      </c>
      <c r="G157" s="480" t="s">
        <v>381</v>
      </c>
      <c r="H157" s="84"/>
      <c r="K157" s="501"/>
      <c r="L157" s="88">
        <v>13.7</v>
      </c>
      <c r="M157" s="88">
        <v>14.49</v>
      </c>
      <c r="N157" s="368"/>
      <c r="O157" s="214" t="s">
        <v>41</v>
      </c>
      <c r="P157" s="88">
        <f t="shared" si="15"/>
        <v>0.8900000000000009</v>
      </c>
      <c r="Q157" s="90">
        <f t="shared" si="12"/>
        <v>6.4963503649635101E-2</v>
      </c>
      <c r="R157" s="90"/>
      <c r="S157" s="90"/>
      <c r="T157" s="90"/>
      <c r="U157" s="413" t="s">
        <v>27</v>
      </c>
      <c r="V157" s="438"/>
      <c r="W157" s="439">
        <v>0.1</v>
      </c>
      <c r="X157" s="514"/>
    </row>
    <row r="158" spans="1:24">
      <c r="A158" s="84" t="s">
        <v>382</v>
      </c>
      <c r="B158" s="85">
        <v>80</v>
      </c>
      <c r="C158" s="84" t="s">
        <v>30</v>
      </c>
      <c r="D158" s="86">
        <v>1021</v>
      </c>
      <c r="E158" s="87" t="s">
        <v>377</v>
      </c>
      <c r="F158" s="243" t="s">
        <v>378</v>
      </c>
      <c r="G158" s="480" t="s">
        <v>383</v>
      </c>
      <c r="H158" s="84"/>
      <c r="K158" s="501"/>
      <c r="L158" s="88">
        <v>14.95</v>
      </c>
      <c r="M158" s="88">
        <v>15.83</v>
      </c>
      <c r="N158" s="368"/>
      <c r="O158" s="214" t="s">
        <v>41</v>
      </c>
      <c r="P158" s="88">
        <f t="shared" si="15"/>
        <v>0.98000000000000076</v>
      </c>
      <c r="Q158" s="90">
        <f t="shared" si="12"/>
        <v>6.5551839464882994E-2</v>
      </c>
      <c r="R158" s="90"/>
      <c r="S158" s="90"/>
      <c r="T158" s="90"/>
      <c r="U158" s="413" t="s">
        <v>27</v>
      </c>
      <c r="V158" s="438"/>
      <c r="W158" s="439">
        <v>0.1</v>
      </c>
      <c r="X158" s="514"/>
    </row>
    <row r="159" spans="1:24">
      <c r="A159" s="84" t="s">
        <v>384</v>
      </c>
      <c r="B159" s="85">
        <v>80</v>
      </c>
      <c r="C159" s="84" t="s">
        <v>30</v>
      </c>
      <c r="D159" s="86">
        <v>1021</v>
      </c>
      <c r="E159" s="87" t="s">
        <v>377</v>
      </c>
      <c r="F159" s="243" t="s">
        <v>378</v>
      </c>
      <c r="G159" s="480" t="s">
        <v>385</v>
      </c>
      <c r="H159" s="84"/>
      <c r="K159" s="501"/>
      <c r="L159" s="88">
        <v>14.7</v>
      </c>
      <c r="M159" s="88">
        <v>15.56</v>
      </c>
      <c r="N159" s="368"/>
      <c r="O159" s="214" t="s">
        <v>41</v>
      </c>
      <c r="P159" s="88">
        <f t="shared" si="15"/>
        <v>0.96000000000000119</v>
      </c>
      <c r="Q159" s="90">
        <f t="shared" si="12"/>
        <v>6.5306122448979681E-2</v>
      </c>
      <c r="R159" s="90"/>
      <c r="S159" s="90"/>
      <c r="T159" s="90"/>
      <c r="U159" s="413" t="s">
        <v>27</v>
      </c>
      <c r="V159" s="438"/>
      <c r="W159" s="439">
        <v>0.1</v>
      </c>
      <c r="X159" s="514"/>
    </row>
    <row r="160" spans="1:24">
      <c r="A160" s="84" t="s">
        <v>386</v>
      </c>
      <c r="B160" s="85">
        <v>80</v>
      </c>
      <c r="C160" s="84" t="s">
        <v>30</v>
      </c>
      <c r="D160" s="86">
        <v>1021</v>
      </c>
      <c r="E160" s="87" t="s">
        <v>377</v>
      </c>
      <c r="F160" s="243" t="s">
        <v>378</v>
      </c>
      <c r="G160" s="480" t="s">
        <v>387</v>
      </c>
      <c r="H160" s="84"/>
      <c r="K160" s="501"/>
      <c r="L160" s="88">
        <v>16.850000000000001</v>
      </c>
      <c r="M160" s="88">
        <v>18.579999999999998</v>
      </c>
      <c r="N160" s="368"/>
      <c r="O160" s="214" t="s">
        <v>41</v>
      </c>
      <c r="P160" s="88">
        <f t="shared" si="15"/>
        <v>1.7299999999999969</v>
      </c>
      <c r="Q160" s="90">
        <f t="shared" si="12"/>
        <v>0.1026706231454004</v>
      </c>
      <c r="R160" s="90"/>
      <c r="S160" s="90"/>
      <c r="T160" s="90"/>
      <c r="U160" s="413" t="s">
        <v>27</v>
      </c>
      <c r="V160" s="438"/>
      <c r="W160" s="439"/>
      <c r="X160" s="514"/>
    </row>
    <row r="161" spans="1:24">
      <c r="A161" s="84" t="s">
        <v>388</v>
      </c>
      <c r="B161" s="85">
        <v>110</v>
      </c>
      <c r="C161" s="84" t="s">
        <v>80</v>
      </c>
      <c r="D161" s="86">
        <v>1021</v>
      </c>
      <c r="E161" s="87" t="s">
        <v>377</v>
      </c>
      <c r="F161" s="243" t="s">
        <v>378</v>
      </c>
      <c r="G161" s="480" t="s">
        <v>387</v>
      </c>
      <c r="H161" s="84"/>
      <c r="K161" s="501"/>
      <c r="L161" s="88">
        <v>16.350000000000001</v>
      </c>
      <c r="M161" s="88">
        <v>18.579999999999998</v>
      </c>
      <c r="N161" s="368"/>
      <c r="O161" s="214" t="s">
        <v>41</v>
      </c>
      <c r="P161" s="88">
        <f t="shared" si="15"/>
        <v>2.2299999999999969</v>
      </c>
      <c r="Q161" s="90">
        <f t="shared" ref="Q161:Q176" si="16">P161/L161</f>
        <v>0.1363914373088683</v>
      </c>
      <c r="R161" s="90"/>
      <c r="S161" s="90"/>
      <c r="T161" s="90"/>
      <c r="U161" s="413" t="s">
        <v>27</v>
      </c>
      <c r="V161" s="438"/>
      <c r="W161" s="439"/>
      <c r="X161" s="514"/>
    </row>
    <row r="162" spans="1:24">
      <c r="A162" s="84" t="s">
        <v>389</v>
      </c>
      <c r="B162" s="85">
        <v>80</v>
      </c>
      <c r="C162" s="84" t="s">
        <v>30</v>
      </c>
      <c r="D162" s="86">
        <v>1021</v>
      </c>
      <c r="E162" s="87" t="s">
        <v>377</v>
      </c>
      <c r="F162" s="243" t="s">
        <v>378</v>
      </c>
      <c r="G162" s="480" t="s">
        <v>390</v>
      </c>
      <c r="H162" s="84"/>
      <c r="K162" s="501" t="s">
        <v>391</v>
      </c>
      <c r="L162" s="88">
        <v>17.850000000000001</v>
      </c>
      <c r="M162" s="201">
        <v>18.25</v>
      </c>
      <c r="N162" s="368"/>
      <c r="O162" s="214" t="s">
        <v>41</v>
      </c>
      <c r="P162" s="88">
        <f t="shared" si="15"/>
        <v>0.39999999999999858</v>
      </c>
      <c r="Q162" s="90">
        <f t="shared" si="16"/>
        <v>2.2408963585434091E-2</v>
      </c>
      <c r="R162" s="90"/>
      <c r="S162" s="90"/>
      <c r="T162" s="90"/>
      <c r="U162" s="413" t="s">
        <v>27</v>
      </c>
      <c r="V162" s="438"/>
      <c r="W162" s="439"/>
      <c r="X162" s="514"/>
    </row>
    <row r="163" spans="1:24">
      <c r="A163" s="84" t="s">
        <v>392</v>
      </c>
      <c r="B163" s="85">
        <v>150</v>
      </c>
      <c r="C163" s="84" t="s">
        <v>97</v>
      </c>
      <c r="D163" s="86">
        <v>1021</v>
      </c>
      <c r="E163" s="87" t="s">
        <v>377</v>
      </c>
      <c r="F163" s="243" t="s">
        <v>378</v>
      </c>
      <c r="G163" s="480" t="s">
        <v>393</v>
      </c>
      <c r="H163" s="84"/>
      <c r="K163" s="501"/>
      <c r="L163" s="88">
        <v>3.12</v>
      </c>
      <c r="M163" s="88">
        <v>3.9</v>
      </c>
      <c r="N163" s="368"/>
      <c r="O163" s="214" t="s">
        <v>41</v>
      </c>
      <c r="P163" s="88">
        <f t="shared" si="15"/>
        <v>0.7799999999999998</v>
      </c>
      <c r="Q163" s="90">
        <f t="shared" si="16"/>
        <v>0.24999999999999992</v>
      </c>
      <c r="R163" s="90"/>
      <c r="S163" s="90"/>
      <c r="T163" s="90"/>
      <c r="U163" s="413" t="s">
        <v>27</v>
      </c>
      <c r="V163" s="438"/>
      <c r="W163" s="439"/>
      <c r="X163" s="514"/>
    </row>
    <row r="164" spans="1:24">
      <c r="A164" s="84" t="s">
        <v>394</v>
      </c>
      <c r="B164" s="85">
        <v>150</v>
      </c>
      <c r="C164" s="84" t="s">
        <v>97</v>
      </c>
      <c r="D164" s="86">
        <v>1021</v>
      </c>
      <c r="E164" s="87" t="s">
        <v>377</v>
      </c>
      <c r="F164" s="243" t="s">
        <v>378</v>
      </c>
      <c r="G164" s="480" t="s">
        <v>395</v>
      </c>
      <c r="H164" s="84"/>
      <c r="K164" s="501"/>
      <c r="L164" s="88">
        <v>9.3000000000000007</v>
      </c>
      <c r="M164" s="88">
        <v>10.32</v>
      </c>
      <c r="N164" s="368"/>
      <c r="O164" s="214" t="s">
        <v>41</v>
      </c>
      <c r="P164" s="88">
        <f t="shared" si="15"/>
        <v>1.0199999999999996</v>
      </c>
      <c r="Q164" s="90">
        <f t="shared" si="16"/>
        <v>0.10967741935483866</v>
      </c>
      <c r="R164" s="90"/>
      <c r="S164" s="90"/>
      <c r="T164" s="90"/>
      <c r="U164" s="413" t="s">
        <v>27</v>
      </c>
      <c r="V164" s="438"/>
      <c r="W164" s="440"/>
      <c r="X164" s="514"/>
    </row>
    <row r="165" spans="1:24">
      <c r="A165" s="84" t="s">
        <v>396</v>
      </c>
      <c r="B165" s="85">
        <v>50</v>
      </c>
      <c r="C165" s="84" t="s">
        <v>20</v>
      </c>
      <c r="D165" s="86">
        <v>1021</v>
      </c>
      <c r="E165" s="87" t="s">
        <v>377</v>
      </c>
      <c r="F165" s="243" t="s">
        <v>378</v>
      </c>
      <c r="G165" s="480" t="s">
        <v>395</v>
      </c>
      <c r="H165" s="84"/>
      <c r="K165" s="501"/>
      <c r="L165" s="88">
        <v>8.6300000000000008</v>
      </c>
      <c r="M165" s="88">
        <v>10.32</v>
      </c>
      <c r="N165" s="368"/>
      <c r="O165" s="214" t="s">
        <v>41</v>
      </c>
      <c r="P165" s="88">
        <f t="shared" si="15"/>
        <v>1.6899999999999995</v>
      </c>
      <c r="Q165" s="90">
        <f t="shared" si="16"/>
        <v>0.1958285052143684</v>
      </c>
      <c r="R165" s="90"/>
      <c r="S165" s="90"/>
      <c r="T165" s="90"/>
      <c r="U165" s="413" t="s">
        <v>27</v>
      </c>
      <c r="V165" s="438"/>
      <c r="W165" s="440"/>
      <c r="X165" s="514"/>
    </row>
    <row r="166" spans="1:24">
      <c r="A166" s="84" t="s">
        <v>397</v>
      </c>
      <c r="B166" s="85">
        <v>10</v>
      </c>
      <c r="C166" s="84" t="s">
        <v>75</v>
      </c>
      <c r="D166" s="86">
        <v>1021</v>
      </c>
      <c r="E166" s="87" t="s">
        <v>377</v>
      </c>
      <c r="F166" s="243" t="s">
        <v>378</v>
      </c>
      <c r="G166" s="480" t="s">
        <v>398</v>
      </c>
      <c r="H166" s="84"/>
      <c r="K166" s="501"/>
      <c r="L166" s="201">
        <v>10.98</v>
      </c>
      <c r="M166" s="88">
        <v>12.12</v>
      </c>
      <c r="N166" s="368"/>
      <c r="O166" s="214" t="s">
        <v>41</v>
      </c>
      <c r="P166" s="88">
        <f t="shared" si="15"/>
        <v>1.1399999999999988</v>
      </c>
      <c r="Q166" s="90">
        <f t="shared" si="16"/>
        <v>0.10382513661202174</v>
      </c>
      <c r="R166" s="90"/>
      <c r="S166" s="90"/>
      <c r="T166" s="90"/>
      <c r="U166" s="413" t="s">
        <v>27</v>
      </c>
      <c r="V166" s="438"/>
      <c r="W166" s="439"/>
      <c r="X166" s="514"/>
    </row>
    <row r="167" spans="1:24">
      <c r="A167" s="84" t="s">
        <v>399</v>
      </c>
      <c r="B167" s="85">
        <v>50</v>
      </c>
      <c r="C167" s="84" t="s">
        <v>20</v>
      </c>
      <c r="D167" s="86">
        <v>1021</v>
      </c>
      <c r="E167" s="87" t="s">
        <v>377</v>
      </c>
      <c r="F167" s="243" t="s">
        <v>378</v>
      </c>
      <c r="G167" s="480" t="s">
        <v>400</v>
      </c>
      <c r="H167" s="84"/>
      <c r="K167" s="501"/>
      <c r="L167" s="88">
        <v>11.31</v>
      </c>
      <c r="M167" s="88">
        <v>12.12</v>
      </c>
      <c r="N167" s="368"/>
      <c r="O167" s="214" t="s">
        <v>41</v>
      </c>
      <c r="P167" s="88">
        <f t="shared" si="15"/>
        <v>0.80999999999999872</v>
      </c>
      <c r="Q167" s="90">
        <f t="shared" si="16"/>
        <v>7.1618037135278395E-2</v>
      </c>
      <c r="R167" s="90"/>
      <c r="S167" s="90"/>
      <c r="T167" s="90"/>
      <c r="U167" s="413" t="s">
        <v>27</v>
      </c>
      <c r="V167" s="438"/>
      <c r="W167" s="439"/>
      <c r="X167" s="514"/>
    </row>
    <row r="168" spans="1:24">
      <c r="A168" s="56" t="s">
        <v>401</v>
      </c>
      <c r="B168" s="57">
        <v>120</v>
      </c>
      <c r="C168" s="56" t="s">
        <v>36</v>
      </c>
      <c r="D168" s="58">
        <v>1022</v>
      </c>
      <c r="E168" s="59" t="s">
        <v>402</v>
      </c>
      <c r="F168" s="244" t="s">
        <v>118</v>
      </c>
      <c r="G168" s="481" t="s">
        <v>194</v>
      </c>
      <c r="H168" s="56"/>
      <c r="K168" s="508"/>
      <c r="L168" s="89">
        <v>13.1</v>
      </c>
      <c r="M168" s="89">
        <v>13.32</v>
      </c>
      <c r="N168" s="369"/>
      <c r="O168" s="215" t="s">
        <v>41</v>
      </c>
      <c r="P168" s="89">
        <f>M168-L168+W168-V168</f>
        <v>0.52000000000000068</v>
      </c>
      <c r="Q168" s="91">
        <f t="shared" si="16"/>
        <v>3.9694656488549675E-2</v>
      </c>
      <c r="R168" s="91"/>
      <c r="S168" s="91"/>
      <c r="T168" s="91"/>
      <c r="U168" s="414" t="s">
        <v>403</v>
      </c>
      <c r="V168" s="441">
        <v>0.1</v>
      </c>
      <c r="W168" s="442">
        <v>0.4</v>
      </c>
      <c r="X168" s="514"/>
    </row>
    <row r="169" spans="1:24">
      <c r="A169" s="56" t="s">
        <v>404</v>
      </c>
      <c r="B169" s="57">
        <v>120</v>
      </c>
      <c r="C169" s="56" t="s">
        <v>36</v>
      </c>
      <c r="D169" s="58">
        <v>1022</v>
      </c>
      <c r="E169" s="59" t="s">
        <v>402</v>
      </c>
      <c r="F169" s="244" t="s">
        <v>118</v>
      </c>
      <c r="G169" s="481" t="s">
        <v>405</v>
      </c>
      <c r="H169" s="56"/>
      <c r="K169" s="501"/>
      <c r="L169" s="89">
        <v>12.8</v>
      </c>
      <c r="M169" s="89">
        <v>14</v>
      </c>
      <c r="N169" s="369"/>
      <c r="O169" s="215" t="s">
        <v>41</v>
      </c>
      <c r="P169" s="89">
        <f t="shared" ref="P169:P180" si="17">M169-L169+W169-V169</f>
        <v>1.3499999999999992</v>
      </c>
      <c r="Q169" s="91">
        <f t="shared" si="16"/>
        <v>0.10546874999999993</v>
      </c>
      <c r="R169" s="91"/>
      <c r="S169" s="91"/>
      <c r="T169" s="91"/>
      <c r="U169" s="414" t="s">
        <v>403</v>
      </c>
      <c r="V169" s="441">
        <v>0.25</v>
      </c>
      <c r="W169" s="442">
        <v>0.4</v>
      </c>
      <c r="X169" s="514"/>
    </row>
    <row r="170" spans="1:24">
      <c r="A170" s="56" t="s">
        <v>406</v>
      </c>
      <c r="B170" s="57">
        <v>120</v>
      </c>
      <c r="C170" s="56" t="s">
        <v>36</v>
      </c>
      <c r="D170" s="58">
        <v>1022</v>
      </c>
      <c r="E170" s="59" t="s">
        <v>402</v>
      </c>
      <c r="F170" s="244" t="s">
        <v>118</v>
      </c>
      <c r="G170" s="481" t="s">
        <v>407</v>
      </c>
      <c r="H170" s="56"/>
      <c r="K170" s="501"/>
      <c r="L170" s="89">
        <v>14.05</v>
      </c>
      <c r="M170" s="89">
        <v>15.32</v>
      </c>
      <c r="N170" s="369"/>
      <c r="O170" s="215" t="s">
        <v>41</v>
      </c>
      <c r="P170" s="89">
        <f t="shared" si="17"/>
        <v>1.4199999999999995</v>
      </c>
      <c r="Q170" s="91">
        <f t="shared" si="16"/>
        <v>0.10106761565836295</v>
      </c>
      <c r="R170" s="91"/>
      <c r="S170" s="91"/>
      <c r="T170" s="91"/>
      <c r="U170" s="414" t="s">
        <v>403</v>
      </c>
      <c r="V170" s="441">
        <v>0.25</v>
      </c>
      <c r="W170" s="442">
        <v>0.4</v>
      </c>
      <c r="X170" s="514"/>
    </row>
    <row r="171" spans="1:24">
      <c r="A171" s="56" t="s">
        <v>408</v>
      </c>
      <c r="B171" s="57">
        <v>120</v>
      </c>
      <c r="C171" s="56" t="s">
        <v>36</v>
      </c>
      <c r="D171" s="58">
        <v>1022</v>
      </c>
      <c r="E171" s="59" t="s">
        <v>402</v>
      </c>
      <c r="F171" s="244" t="s">
        <v>118</v>
      </c>
      <c r="G171" s="481" t="s">
        <v>409</v>
      </c>
      <c r="H171" s="56"/>
      <c r="K171" s="501"/>
      <c r="L171" s="89">
        <v>17.899999999999999</v>
      </c>
      <c r="M171" s="89">
        <v>18.05</v>
      </c>
      <c r="N171" s="369"/>
      <c r="O171" s="215" t="s">
        <v>41</v>
      </c>
      <c r="P171" s="89">
        <f t="shared" si="17"/>
        <v>0.30000000000000215</v>
      </c>
      <c r="Q171" s="91">
        <f t="shared" si="16"/>
        <v>1.675977653631297E-2</v>
      </c>
      <c r="R171" s="91"/>
      <c r="S171" s="91"/>
      <c r="T171" s="91"/>
      <c r="U171" s="414" t="s">
        <v>403</v>
      </c>
      <c r="V171" s="441">
        <v>0.25</v>
      </c>
      <c r="W171" s="442">
        <v>0.4</v>
      </c>
      <c r="X171" s="514"/>
    </row>
    <row r="172" spans="1:24">
      <c r="A172" s="56" t="s">
        <v>410</v>
      </c>
      <c r="B172" s="57">
        <v>20</v>
      </c>
      <c r="C172" s="56" t="s">
        <v>67</v>
      </c>
      <c r="D172" s="58">
        <v>1022</v>
      </c>
      <c r="E172" s="59" t="s">
        <v>402</v>
      </c>
      <c r="F172" s="244" t="s">
        <v>118</v>
      </c>
      <c r="G172" s="481" t="s">
        <v>83</v>
      </c>
      <c r="H172" s="56" t="s">
        <v>69</v>
      </c>
      <c r="K172" s="501"/>
      <c r="L172" s="89">
        <v>12.4</v>
      </c>
      <c r="M172" s="89">
        <v>13.64</v>
      </c>
      <c r="N172" s="369"/>
      <c r="O172" s="215" t="s">
        <v>41</v>
      </c>
      <c r="P172" s="89">
        <f t="shared" si="17"/>
        <v>0.99000000000000021</v>
      </c>
      <c r="Q172" s="91">
        <f t="shared" si="16"/>
        <v>7.9838709677419364E-2</v>
      </c>
      <c r="R172" s="91"/>
      <c r="S172" s="91"/>
      <c r="T172" s="91"/>
      <c r="U172" s="414" t="s">
        <v>403</v>
      </c>
      <c r="V172" s="441">
        <v>0.25</v>
      </c>
      <c r="W172" s="442"/>
      <c r="X172" s="514"/>
    </row>
    <row r="173" spans="1:24">
      <c r="A173" s="56" t="s">
        <v>411</v>
      </c>
      <c r="B173" s="57">
        <v>180</v>
      </c>
      <c r="C173" s="56" t="s">
        <v>287</v>
      </c>
      <c r="D173" s="58">
        <v>1022</v>
      </c>
      <c r="E173" s="59" t="s">
        <v>402</v>
      </c>
      <c r="F173" s="244" t="s">
        <v>118</v>
      </c>
      <c r="G173" s="481" t="s">
        <v>316</v>
      </c>
      <c r="H173" s="56"/>
      <c r="K173" s="501"/>
      <c r="L173" s="89">
        <v>18.899999999999999</v>
      </c>
      <c r="M173" s="194">
        <v>21.43</v>
      </c>
      <c r="N173" s="369"/>
      <c r="O173" s="215" t="s">
        <v>41</v>
      </c>
      <c r="P173" s="89">
        <f t="shared" si="17"/>
        <v>2.2800000000000011</v>
      </c>
      <c r="Q173" s="91">
        <f t="shared" si="16"/>
        <v>0.12063492063492071</v>
      </c>
      <c r="R173" s="91"/>
      <c r="S173" s="91"/>
      <c r="T173" s="91"/>
      <c r="U173" s="414" t="s">
        <v>403</v>
      </c>
      <c r="V173" s="441">
        <v>0.25</v>
      </c>
      <c r="W173" s="442"/>
      <c r="X173" s="514"/>
    </row>
    <row r="174" spans="1:24">
      <c r="A174" s="56" t="s">
        <v>412</v>
      </c>
      <c r="B174" s="57">
        <v>20</v>
      </c>
      <c r="C174" s="56" t="s">
        <v>67</v>
      </c>
      <c r="D174" s="58">
        <v>1022</v>
      </c>
      <c r="E174" s="59" t="s">
        <v>402</v>
      </c>
      <c r="F174" s="244" t="s">
        <v>118</v>
      </c>
      <c r="G174" s="481" t="s">
        <v>413</v>
      </c>
      <c r="H174" s="56" t="s">
        <v>69</v>
      </c>
      <c r="K174" s="501"/>
      <c r="L174" s="89">
        <v>19.3</v>
      </c>
      <c r="M174" s="194">
        <v>21.43</v>
      </c>
      <c r="N174" s="369"/>
      <c r="O174" s="215" t="s">
        <v>41</v>
      </c>
      <c r="P174" s="89">
        <f t="shared" si="17"/>
        <v>1.879999999999999</v>
      </c>
      <c r="Q174" s="91">
        <f t="shared" si="16"/>
        <v>9.7409326424870407E-2</v>
      </c>
      <c r="R174" s="91"/>
      <c r="S174" s="91"/>
      <c r="T174" s="91"/>
      <c r="U174" s="414" t="s">
        <v>403</v>
      </c>
      <c r="V174" s="441">
        <v>0.25</v>
      </c>
      <c r="W174" s="442"/>
      <c r="X174" s="514"/>
    </row>
    <row r="175" spans="1:24">
      <c r="A175" s="56" t="s">
        <v>414</v>
      </c>
      <c r="B175" s="57">
        <v>60</v>
      </c>
      <c r="C175" s="56" t="s">
        <v>327</v>
      </c>
      <c r="D175" s="58">
        <v>1022</v>
      </c>
      <c r="E175" s="59" t="s">
        <v>402</v>
      </c>
      <c r="F175" s="244" t="s">
        <v>118</v>
      </c>
      <c r="G175" s="481" t="s">
        <v>415</v>
      </c>
      <c r="H175" s="56"/>
      <c r="K175" s="501"/>
      <c r="L175" s="89">
        <v>8.6999999999999993</v>
      </c>
      <c r="M175" s="89">
        <v>10.14</v>
      </c>
      <c r="N175" s="369"/>
      <c r="O175" s="215" t="s">
        <v>41</v>
      </c>
      <c r="P175" s="89">
        <f t="shared" si="17"/>
        <v>1.1900000000000013</v>
      </c>
      <c r="Q175" s="91">
        <f t="shared" si="16"/>
        <v>0.13678160919540247</v>
      </c>
      <c r="R175" s="91"/>
      <c r="S175" s="91"/>
      <c r="T175" s="91"/>
      <c r="U175" s="414" t="s">
        <v>403</v>
      </c>
      <c r="V175" s="441">
        <v>0.25</v>
      </c>
      <c r="W175" s="442"/>
      <c r="X175" s="514"/>
    </row>
    <row r="176" spans="1:24">
      <c r="A176" s="56" t="s">
        <v>416</v>
      </c>
      <c r="B176" s="57">
        <v>20</v>
      </c>
      <c r="C176" s="56" t="s">
        <v>67</v>
      </c>
      <c r="D176" s="58">
        <v>1022</v>
      </c>
      <c r="E176" s="59" t="s">
        <v>402</v>
      </c>
      <c r="F176" s="244" t="s">
        <v>118</v>
      </c>
      <c r="G176" s="481" t="s">
        <v>417</v>
      </c>
      <c r="H176" s="56" t="s">
        <v>418</v>
      </c>
      <c r="K176" s="501"/>
      <c r="L176" s="89">
        <v>9.6999999999999993</v>
      </c>
      <c r="M176" s="89">
        <v>10.77</v>
      </c>
      <c r="N176" s="369"/>
      <c r="O176" s="215" t="s">
        <v>41</v>
      </c>
      <c r="P176" s="89">
        <f t="shared" si="17"/>
        <v>0.82000000000000028</v>
      </c>
      <c r="Q176" s="91">
        <f t="shared" si="16"/>
        <v>8.4536082474226837E-2</v>
      </c>
      <c r="R176" s="91"/>
      <c r="S176" s="91"/>
      <c r="T176" s="91"/>
      <c r="U176" s="414" t="s">
        <v>403</v>
      </c>
      <c r="V176" s="441">
        <v>0.25</v>
      </c>
      <c r="W176" s="442"/>
      <c r="X176" s="514"/>
    </row>
    <row r="177" spans="1:24">
      <c r="A177" s="56" t="s">
        <v>419</v>
      </c>
      <c r="B177" s="57">
        <v>20</v>
      </c>
      <c r="C177" s="56" t="s">
        <v>67</v>
      </c>
      <c r="D177" s="58">
        <v>1022</v>
      </c>
      <c r="E177" s="59" t="s">
        <v>402</v>
      </c>
      <c r="F177" s="244" t="s">
        <v>118</v>
      </c>
      <c r="G177" s="481" t="s">
        <v>420</v>
      </c>
      <c r="H177" s="56" t="s">
        <v>418</v>
      </c>
      <c r="K177" s="501"/>
      <c r="L177" s="89">
        <v>12.2</v>
      </c>
      <c r="M177" s="89">
        <v>13.2</v>
      </c>
      <c r="N177" s="369"/>
      <c r="O177" s="215" t="s">
        <v>41</v>
      </c>
      <c r="P177" s="89">
        <f t="shared" si="17"/>
        <v>0.75</v>
      </c>
      <c r="Q177" s="91">
        <f>P177/L177</f>
        <v>6.147540983606558E-2</v>
      </c>
      <c r="R177" s="91"/>
      <c r="S177" s="91"/>
      <c r="T177" s="91"/>
      <c r="U177" s="414" t="s">
        <v>403</v>
      </c>
      <c r="V177" s="441">
        <v>0.25</v>
      </c>
      <c r="W177" s="442"/>
      <c r="X177" s="514"/>
    </row>
    <row r="178" spans="1:24">
      <c r="A178" s="56" t="s">
        <v>421</v>
      </c>
      <c r="B178" s="57">
        <v>20</v>
      </c>
      <c r="C178" s="56" t="s">
        <v>67</v>
      </c>
      <c r="D178" s="58">
        <v>1022</v>
      </c>
      <c r="E178" s="59" t="s">
        <v>402</v>
      </c>
      <c r="F178" s="244" t="s">
        <v>118</v>
      </c>
      <c r="G178" s="481" t="s">
        <v>422</v>
      </c>
      <c r="H178" s="56" t="s">
        <v>92</v>
      </c>
      <c r="K178" s="501"/>
      <c r="L178" s="89">
        <v>13.55</v>
      </c>
      <c r="M178" s="89">
        <v>15.47</v>
      </c>
      <c r="N178" s="369"/>
      <c r="O178" s="215" t="s">
        <v>41</v>
      </c>
      <c r="P178" s="89">
        <f t="shared" si="17"/>
        <v>1.67</v>
      </c>
      <c r="Q178" s="91">
        <f t="shared" ref="Q178:Q196" si="18">P178/L178</f>
        <v>0.12324723247232471</v>
      </c>
      <c r="R178" s="91"/>
      <c r="S178" s="91"/>
      <c r="T178" s="91"/>
      <c r="U178" s="414" t="s">
        <v>403</v>
      </c>
      <c r="V178" s="441">
        <v>0.25</v>
      </c>
      <c r="W178" s="442"/>
      <c r="X178" s="514"/>
    </row>
    <row r="179" spans="1:24">
      <c r="A179" s="56" t="s">
        <v>423</v>
      </c>
      <c r="B179" s="57">
        <v>20</v>
      </c>
      <c r="C179" s="56" t="s">
        <v>67</v>
      </c>
      <c r="D179" s="58">
        <v>1022</v>
      </c>
      <c r="E179" s="59" t="s">
        <v>402</v>
      </c>
      <c r="F179" s="244" t="s">
        <v>118</v>
      </c>
      <c r="G179" s="481" t="s">
        <v>424</v>
      </c>
      <c r="H179" s="56" t="s">
        <v>69</v>
      </c>
      <c r="K179" s="501"/>
      <c r="L179" s="89">
        <v>9.1</v>
      </c>
      <c r="M179" s="89">
        <v>10.59</v>
      </c>
      <c r="N179" s="369"/>
      <c r="O179" s="215" t="s">
        <v>41</v>
      </c>
      <c r="P179" s="89">
        <f t="shared" si="17"/>
        <v>1.2400000000000002</v>
      </c>
      <c r="Q179" s="91">
        <f t="shared" si="18"/>
        <v>0.13626373626373628</v>
      </c>
      <c r="R179" s="91"/>
      <c r="S179" s="91"/>
      <c r="T179" s="91"/>
      <c r="U179" s="414" t="s">
        <v>403</v>
      </c>
      <c r="V179" s="441">
        <v>0.25</v>
      </c>
      <c r="W179" s="442"/>
      <c r="X179" s="514"/>
    </row>
    <row r="180" spans="1:24">
      <c r="A180" s="56" t="s">
        <v>425</v>
      </c>
      <c r="B180" s="57">
        <v>20</v>
      </c>
      <c r="C180" s="56" t="s">
        <v>67</v>
      </c>
      <c r="D180" s="58">
        <v>1022</v>
      </c>
      <c r="E180" s="59" t="s">
        <v>402</v>
      </c>
      <c r="F180" s="244" t="s">
        <v>118</v>
      </c>
      <c r="G180" s="481" t="s">
        <v>161</v>
      </c>
      <c r="H180" s="56" t="s">
        <v>92</v>
      </c>
      <c r="K180" s="501"/>
      <c r="L180" s="89">
        <v>11</v>
      </c>
      <c r="M180" s="89">
        <v>12.9</v>
      </c>
      <c r="N180" s="369"/>
      <c r="O180" s="215" t="s">
        <v>41</v>
      </c>
      <c r="P180" s="89">
        <f t="shared" si="17"/>
        <v>0.65000000000000036</v>
      </c>
      <c r="Q180" s="91">
        <f t="shared" si="18"/>
        <v>5.9090909090909124E-2</v>
      </c>
      <c r="R180" s="91"/>
      <c r="S180" s="91"/>
      <c r="T180" s="91"/>
      <c r="U180" s="414" t="s">
        <v>403</v>
      </c>
      <c r="V180" s="441">
        <v>1.25</v>
      </c>
      <c r="W180" s="442"/>
      <c r="X180" s="514"/>
    </row>
    <row r="181" spans="1:24" ht="16.5" customHeight="1">
      <c r="A181" s="93" t="s">
        <v>426</v>
      </c>
      <c r="B181" s="94">
        <v>80</v>
      </c>
      <c r="C181" s="93" t="s">
        <v>30</v>
      </c>
      <c r="D181" s="95">
        <v>1023</v>
      </c>
      <c r="E181" s="96" t="s">
        <v>427</v>
      </c>
      <c r="F181" s="245" t="s">
        <v>378</v>
      </c>
      <c r="G181" s="482" t="s">
        <v>428</v>
      </c>
      <c r="H181" s="93" t="s">
        <v>429</v>
      </c>
      <c r="K181" s="501"/>
      <c r="L181" s="97">
        <v>14.95</v>
      </c>
      <c r="M181" s="97">
        <v>16.22</v>
      </c>
      <c r="N181" s="370"/>
      <c r="O181" s="216" t="s">
        <v>41</v>
      </c>
      <c r="P181" s="97">
        <f>M181-L181+W181-V181</f>
        <v>0.76999999999999968</v>
      </c>
      <c r="Q181" s="98">
        <f t="shared" si="18"/>
        <v>5.1505016722408009E-2</v>
      </c>
      <c r="R181" s="98"/>
      <c r="S181" s="98"/>
      <c r="T181" s="98"/>
      <c r="U181" s="415" t="s">
        <v>430</v>
      </c>
      <c r="V181" s="184">
        <v>0.6</v>
      </c>
      <c r="W181" s="443">
        <v>0.1</v>
      </c>
      <c r="X181" s="514"/>
    </row>
    <row r="182" spans="1:24" ht="16.5" customHeight="1">
      <c r="A182" s="93" t="s">
        <v>431</v>
      </c>
      <c r="B182" s="94">
        <v>50</v>
      </c>
      <c r="C182" s="93" t="s">
        <v>20</v>
      </c>
      <c r="D182" s="95">
        <v>1023</v>
      </c>
      <c r="E182" s="96" t="s">
        <v>427</v>
      </c>
      <c r="F182" s="245" t="s">
        <v>378</v>
      </c>
      <c r="G182" s="482" t="s">
        <v>432</v>
      </c>
      <c r="H182" s="93" t="s">
        <v>433</v>
      </c>
      <c r="K182" s="501"/>
      <c r="L182" s="97">
        <v>15.2</v>
      </c>
      <c r="M182" s="97">
        <v>16.96</v>
      </c>
      <c r="N182" s="370"/>
      <c r="O182" s="216" t="s">
        <v>41</v>
      </c>
      <c r="P182" s="97">
        <f t="shared" ref="P182:P185" si="19">M182-L182+W182-V182</f>
        <v>1.0600000000000016</v>
      </c>
      <c r="Q182" s="98">
        <f t="shared" si="18"/>
        <v>6.9736842105263264E-2</v>
      </c>
      <c r="R182" s="98"/>
      <c r="S182" s="98"/>
      <c r="T182" s="98"/>
      <c r="U182" s="415" t="s">
        <v>434</v>
      </c>
      <c r="V182" s="184">
        <v>0.7</v>
      </c>
      <c r="W182" s="443"/>
      <c r="X182" s="514"/>
    </row>
    <row r="183" spans="1:24" ht="16.5" customHeight="1">
      <c r="A183" s="93" t="s">
        <v>435</v>
      </c>
      <c r="B183" s="94">
        <v>50</v>
      </c>
      <c r="C183" s="93" t="s">
        <v>20</v>
      </c>
      <c r="D183" s="95">
        <v>1023</v>
      </c>
      <c r="E183" s="96" t="s">
        <v>427</v>
      </c>
      <c r="F183" s="245" t="s">
        <v>378</v>
      </c>
      <c r="G183" s="482" t="s">
        <v>436</v>
      </c>
      <c r="H183" s="93" t="s">
        <v>433</v>
      </c>
      <c r="K183" s="501"/>
      <c r="L183" s="97">
        <v>10.65</v>
      </c>
      <c r="M183" s="97">
        <v>12.72</v>
      </c>
      <c r="N183" s="370"/>
      <c r="O183" s="216" t="s">
        <v>41</v>
      </c>
      <c r="P183" s="97">
        <f t="shared" si="19"/>
        <v>1.3700000000000003</v>
      </c>
      <c r="Q183" s="98">
        <f t="shared" si="18"/>
        <v>0.12863849765258217</v>
      </c>
      <c r="R183" s="98"/>
      <c r="S183" s="98"/>
      <c r="T183" s="98"/>
      <c r="U183" s="415" t="s">
        <v>434</v>
      </c>
      <c r="V183" s="184">
        <v>0.7</v>
      </c>
      <c r="W183" s="443"/>
      <c r="X183" s="514"/>
    </row>
    <row r="184" spans="1:24" ht="16.5" customHeight="1">
      <c r="A184" s="93" t="s">
        <v>437</v>
      </c>
      <c r="B184" s="94">
        <v>50</v>
      </c>
      <c r="C184" s="93" t="s">
        <v>20</v>
      </c>
      <c r="D184" s="95">
        <v>1023</v>
      </c>
      <c r="E184" s="96" t="s">
        <v>427</v>
      </c>
      <c r="F184" s="245" t="s">
        <v>378</v>
      </c>
      <c r="G184" s="482" t="s">
        <v>438</v>
      </c>
      <c r="H184" s="93" t="s">
        <v>433</v>
      </c>
      <c r="K184" s="501"/>
      <c r="L184" s="97">
        <v>10.99</v>
      </c>
      <c r="M184" s="97">
        <v>12.72</v>
      </c>
      <c r="N184" s="370"/>
      <c r="O184" s="216" t="s">
        <v>41</v>
      </c>
      <c r="P184" s="97">
        <f t="shared" si="19"/>
        <v>1.0300000000000005</v>
      </c>
      <c r="Q184" s="98">
        <f t="shared" si="18"/>
        <v>9.3721565059144724E-2</v>
      </c>
      <c r="R184" s="98"/>
      <c r="S184" s="98"/>
      <c r="T184" s="98"/>
      <c r="U184" s="415" t="s">
        <v>434</v>
      </c>
      <c r="V184" s="184">
        <v>0.7</v>
      </c>
      <c r="W184" s="443"/>
      <c r="X184" s="514"/>
    </row>
    <row r="185" spans="1:24" ht="16.5" customHeight="1">
      <c r="A185" s="93" t="s">
        <v>439</v>
      </c>
      <c r="B185" s="94">
        <v>50</v>
      </c>
      <c r="C185" s="93" t="s">
        <v>20</v>
      </c>
      <c r="D185" s="95">
        <v>1023</v>
      </c>
      <c r="E185" s="96" t="s">
        <v>427</v>
      </c>
      <c r="F185" s="245" t="s">
        <v>378</v>
      </c>
      <c r="G185" s="482" t="s">
        <v>270</v>
      </c>
      <c r="H185" s="93" t="s">
        <v>440</v>
      </c>
      <c r="K185" s="501"/>
      <c r="L185" s="97">
        <v>8.6300000000000008</v>
      </c>
      <c r="M185" s="97">
        <v>9.4</v>
      </c>
      <c r="N185" s="370"/>
      <c r="O185" s="216" t="s">
        <v>41</v>
      </c>
      <c r="P185" s="97">
        <f t="shared" si="19"/>
        <v>6.9999999999999618E-2</v>
      </c>
      <c r="Q185" s="98">
        <f t="shared" si="18"/>
        <v>8.1112398609501282E-3</v>
      </c>
      <c r="R185" s="98"/>
      <c r="S185" s="98"/>
      <c r="T185" s="98"/>
      <c r="U185" s="415" t="s">
        <v>434</v>
      </c>
      <c r="V185" s="184">
        <v>0.7</v>
      </c>
      <c r="W185" s="443"/>
      <c r="X185" s="514"/>
    </row>
    <row r="186" spans="1:24" ht="15" customHeight="1">
      <c r="A186" s="101" t="s">
        <v>441</v>
      </c>
      <c r="B186" s="102">
        <v>30</v>
      </c>
      <c r="C186" s="101" t="s">
        <v>203</v>
      </c>
      <c r="D186" s="103">
        <v>1024</v>
      </c>
      <c r="E186" s="104" t="s">
        <v>442</v>
      </c>
      <c r="F186" s="246" t="s">
        <v>443</v>
      </c>
      <c r="G186" s="231" t="s">
        <v>262</v>
      </c>
      <c r="H186" s="101"/>
      <c r="K186" s="501"/>
      <c r="L186" s="99">
        <v>13.7</v>
      </c>
      <c r="M186" s="99">
        <v>14.7</v>
      </c>
      <c r="N186" s="371"/>
      <c r="O186" s="217" t="s">
        <v>111</v>
      </c>
      <c r="P186" s="99">
        <f>M186-L186+W186</f>
        <v>1.1000000000000001</v>
      </c>
      <c r="Q186" s="100">
        <f t="shared" si="18"/>
        <v>8.0291970802919721E-2</v>
      </c>
      <c r="R186" s="99">
        <v>14.7</v>
      </c>
      <c r="S186" s="197">
        <f t="shared" ref="S186:S195" si="20">R186-L186+W186</f>
        <v>1.1000000000000001</v>
      </c>
      <c r="T186" s="100">
        <f t="shared" ref="T186:T195" si="21">S186/L186</f>
        <v>8.0291970802919721E-2</v>
      </c>
      <c r="U186" s="392" t="s">
        <v>27</v>
      </c>
      <c r="V186" s="185" t="s">
        <v>445</v>
      </c>
      <c r="W186" s="444">
        <v>0.1</v>
      </c>
      <c r="X186" s="514" t="s">
        <v>446</v>
      </c>
    </row>
    <row r="187" spans="1:24" ht="15" customHeight="1">
      <c r="A187" s="101" t="s">
        <v>447</v>
      </c>
      <c r="B187" s="102">
        <v>30</v>
      </c>
      <c r="C187" s="101" t="s">
        <v>203</v>
      </c>
      <c r="D187" s="103">
        <v>1024</v>
      </c>
      <c r="E187" s="104" t="s">
        <v>442</v>
      </c>
      <c r="F187" s="246" t="s">
        <v>443</v>
      </c>
      <c r="G187" s="231" t="s">
        <v>448</v>
      </c>
      <c r="H187" s="101"/>
      <c r="K187" s="501"/>
      <c r="L187" s="99">
        <v>15.25</v>
      </c>
      <c r="M187" s="99">
        <v>16.8</v>
      </c>
      <c r="N187" s="371"/>
      <c r="O187" s="217" t="s">
        <v>111</v>
      </c>
      <c r="P187" s="99">
        <f>M187-L187+W187</f>
        <v>1.6500000000000008</v>
      </c>
      <c r="Q187" s="100">
        <f t="shared" si="18"/>
        <v>0.10819672131147547</v>
      </c>
      <c r="R187" s="99">
        <v>16.8</v>
      </c>
      <c r="S187" s="197">
        <f t="shared" si="20"/>
        <v>1.6500000000000008</v>
      </c>
      <c r="T187" s="100">
        <f t="shared" si="21"/>
        <v>0.10819672131147547</v>
      </c>
      <c r="U187" s="392" t="s">
        <v>27</v>
      </c>
      <c r="V187" s="185" t="s">
        <v>449</v>
      </c>
      <c r="W187" s="444">
        <v>0.1</v>
      </c>
      <c r="X187" s="514" t="s">
        <v>450</v>
      </c>
    </row>
    <row r="188" spans="1:24" ht="15" customHeight="1">
      <c r="A188" s="101" t="s">
        <v>451</v>
      </c>
      <c r="B188" s="102">
        <v>30</v>
      </c>
      <c r="C188" s="101" t="s">
        <v>203</v>
      </c>
      <c r="D188" s="103">
        <v>1024</v>
      </c>
      <c r="E188" s="104" t="s">
        <v>442</v>
      </c>
      <c r="F188" s="246" t="s">
        <v>443</v>
      </c>
      <c r="G188" s="231" t="s">
        <v>452</v>
      </c>
      <c r="H188" s="101"/>
      <c r="K188" s="501"/>
      <c r="L188" s="99">
        <f>11.4+0.12</f>
        <v>11.52</v>
      </c>
      <c r="M188" s="99">
        <v>13.1</v>
      </c>
      <c r="N188" s="371"/>
      <c r="O188" s="217" t="s">
        <v>111</v>
      </c>
      <c r="P188" s="99">
        <f>M188-L188-V188</f>
        <v>1.58</v>
      </c>
      <c r="Q188" s="100">
        <f t="shared" si="18"/>
        <v>0.13715277777777779</v>
      </c>
      <c r="R188" s="99">
        <v>13.1</v>
      </c>
      <c r="S188" s="197">
        <f t="shared" si="20"/>
        <v>1.58</v>
      </c>
      <c r="T188" s="100">
        <f t="shared" si="21"/>
        <v>0.13715277777777779</v>
      </c>
      <c r="U188" s="392" t="s">
        <v>27</v>
      </c>
      <c r="V188" s="185"/>
      <c r="W188" s="445"/>
      <c r="X188" s="514" t="s">
        <v>453</v>
      </c>
    </row>
    <row r="189" spans="1:24" ht="15" customHeight="1">
      <c r="A189" s="101" t="s">
        <v>454</v>
      </c>
      <c r="B189" s="102">
        <v>30</v>
      </c>
      <c r="C189" s="101" t="s">
        <v>203</v>
      </c>
      <c r="D189" s="103">
        <v>1024</v>
      </c>
      <c r="E189" s="104" t="s">
        <v>442</v>
      </c>
      <c r="F189" s="246" t="s">
        <v>443</v>
      </c>
      <c r="G189" s="231" t="s">
        <v>455</v>
      </c>
      <c r="H189" s="101"/>
      <c r="K189" s="501"/>
      <c r="L189" s="99">
        <f>11.2+0.17</f>
        <v>11.37</v>
      </c>
      <c r="M189" s="99">
        <v>13.1</v>
      </c>
      <c r="N189" s="371"/>
      <c r="O189" s="217" t="s">
        <v>111</v>
      </c>
      <c r="P189" s="99">
        <f>M189-L189-V189</f>
        <v>1.7300000000000004</v>
      </c>
      <c r="Q189" s="100">
        <f t="shared" si="18"/>
        <v>0.15215479331574322</v>
      </c>
      <c r="R189" s="99">
        <v>13.1</v>
      </c>
      <c r="S189" s="197">
        <f t="shared" si="20"/>
        <v>1.7300000000000004</v>
      </c>
      <c r="T189" s="100">
        <f t="shared" si="21"/>
        <v>0.15215479331574322</v>
      </c>
      <c r="U189" s="392" t="s">
        <v>27</v>
      </c>
      <c r="V189" s="185"/>
      <c r="W189" s="455"/>
      <c r="X189" s="514"/>
    </row>
    <row r="190" spans="1:24" ht="15" customHeight="1">
      <c r="A190" s="101" t="s">
        <v>456</v>
      </c>
      <c r="B190" s="102">
        <v>30</v>
      </c>
      <c r="C190" s="101" t="s">
        <v>203</v>
      </c>
      <c r="D190" s="103">
        <v>1024</v>
      </c>
      <c r="E190" s="104" t="s">
        <v>442</v>
      </c>
      <c r="F190" s="246" t="s">
        <v>443</v>
      </c>
      <c r="G190" s="231" t="s">
        <v>457</v>
      </c>
      <c r="H190" s="101"/>
      <c r="K190" s="501"/>
      <c r="L190" s="99">
        <v>13</v>
      </c>
      <c r="M190" s="99">
        <v>14.3</v>
      </c>
      <c r="N190" s="371"/>
      <c r="O190" s="217" t="s">
        <v>111</v>
      </c>
      <c r="P190" s="99">
        <f>M190-L190-V190</f>
        <v>1.3000000000000007</v>
      </c>
      <c r="Q190" s="100">
        <f t="shared" si="18"/>
        <v>0.10000000000000006</v>
      </c>
      <c r="R190" s="99">
        <v>14.3</v>
      </c>
      <c r="S190" s="197">
        <f t="shared" si="20"/>
        <v>1.3000000000000007</v>
      </c>
      <c r="T190" s="100">
        <f t="shared" si="21"/>
        <v>0.10000000000000006</v>
      </c>
      <c r="U190" s="392" t="s">
        <v>27</v>
      </c>
      <c r="V190" s="185"/>
      <c r="W190" s="445"/>
      <c r="X190" s="514"/>
    </row>
    <row r="191" spans="1:24" ht="15" customHeight="1">
      <c r="A191" s="101" t="s">
        <v>458</v>
      </c>
      <c r="B191" s="102">
        <v>30</v>
      </c>
      <c r="C191" s="101" t="s">
        <v>203</v>
      </c>
      <c r="D191" s="103">
        <v>1024</v>
      </c>
      <c r="E191" s="104" t="s">
        <v>442</v>
      </c>
      <c r="F191" s="246" t="s">
        <v>443</v>
      </c>
      <c r="G191" s="231" t="s">
        <v>459</v>
      </c>
      <c r="H191" s="101"/>
      <c r="K191" s="501"/>
      <c r="L191" s="99">
        <v>18.2</v>
      </c>
      <c r="M191" s="99">
        <v>20.5</v>
      </c>
      <c r="N191" s="371"/>
      <c r="O191" s="217" t="s">
        <v>111</v>
      </c>
      <c r="P191" s="99">
        <f>M191-L191-V191</f>
        <v>2.3000000000000007</v>
      </c>
      <c r="Q191" s="100">
        <f t="shared" si="18"/>
        <v>0.12637362637362642</v>
      </c>
      <c r="R191" s="99">
        <v>20.5</v>
      </c>
      <c r="S191" s="197">
        <f t="shared" si="20"/>
        <v>2.3000000000000007</v>
      </c>
      <c r="T191" s="100">
        <f t="shared" si="21"/>
        <v>0.12637362637362642</v>
      </c>
      <c r="U191" s="392" t="s">
        <v>27</v>
      </c>
      <c r="V191" s="185"/>
      <c r="W191" s="445"/>
      <c r="X191" s="514"/>
    </row>
    <row r="192" spans="1:24" ht="15" customHeight="1">
      <c r="A192" s="101" t="s">
        <v>460</v>
      </c>
      <c r="B192" s="102">
        <v>20</v>
      </c>
      <c r="C192" s="101" t="s">
        <v>67</v>
      </c>
      <c r="D192" s="103">
        <v>1024</v>
      </c>
      <c r="E192" s="104" t="s">
        <v>442</v>
      </c>
      <c r="F192" s="246" t="s">
        <v>443</v>
      </c>
      <c r="G192" s="231" t="s">
        <v>122</v>
      </c>
      <c r="H192" s="101" t="s">
        <v>92</v>
      </c>
      <c r="K192" s="501"/>
      <c r="L192" s="99">
        <v>15.15</v>
      </c>
      <c r="M192" s="99">
        <v>17.2</v>
      </c>
      <c r="N192" s="371"/>
      <c r="O192" s="217" t="s">
        <v>111</v>
      </c>
      <c r="P192" s="99">
        <f>M192-L192-V192+W192</f>
        <v>2.4499999999999988</v>
      </c>
      <c r="Q192" s="100">
        <f t="shared" si="18"/>
        <v>0.16171617161716165</v>
      </c>
      <c r="R192" s="99">
        <v>17.2</v>
      </c>
      <c r="S192" s="197">
        <f t="shared" si="20"/>
        <v>2.4499999999999988</v>
      </c>
      <c r="T192" s="100">
        <f t="shared" si="21"/>
        <v>0.16171617161716165</v>
      </c>
      <c r="U192" s="392" t="s">
        <v>27</v>
      </c>
      <c r="V192" s="185"/>
      <c r="W192" s="445">
        <v>0.4</v>
      </c>
      <c r="X192" s="514"/>
    </row>
    <row r="193" spans="1:24" ht="15" customHeight="1">
      <c r="A193" s="101" t="s">
        <v>461</v>
      </c>
      <c r="B193" s="102">
        <v>20</v>
      </c>
      <c r="C193" s="101" t="s">
        <v>67</v>
      </c>
      <c r="D193" s="103">
        <v>1024</v>
      </c>
      <c r="E193" s="104" t="s">
        <v>442</v>
      </c>
      <c r="F193" s="246" t="s">
        <v>443</v>
      </c>
      <c r="G193" s="231" t="s">
        <v>462</v>
      </c>
      <c r="H193" s="101" t="s">
        <v>463</v>
      </c>
      <c r="K193" s="501"/>
      <c r="L193" s="99">
        <v>9.3000000000000007</v>
      </c>
      <c r="M193" s="99">
        <v>10.93</v>
      </c>
      <c r="N193" s="371"/>
      <c r="O193" s="217" t="s">
        <v>111</v>
      </c>
      <c r="P193" s="99">
        <f>M193-L193-V193</f>
        <v>1.629999999999999</v>
      </c>
      <c r="Q193" s="100">
        <f t="shared" si="18"/>
        <v>0.17526881720430096</v>
      </c>
      <c r="R193" s="99">
        <v>10.93</v>
      </c>
      <c r="S193" s="197">
        <f t="shared" si="20"/>
        <v>1.629999999999999</v>
      </c>
      <c r="T193" s="100">
        <f t="shared" si="21"/>
        <v>0.17526881720430096</v>
      </c>
      <c r="U193" s="392" t="s">
        <v>27</v>
      </c>
      <c r="V193" s="185"/>
      <c r="W193" s="445"/>
      <c r="X193" s="514"/>
    </row>
    <row r="194" spans="1:24" ht="15" customHeight="1">
      <c r="A194" s="101" t="s">
        <v>464</v>
      </c>
      <c r="B194" s="102">
        <v>20</v>
      </c>
      <c r="C194" s="101" t="s">
        <v>67</v>
      </c>
      <c r="D194" s="103">
        <v>1024</v>
      </c>
      <c r="E194" s="104" t="s">
        <v>442</v>
      </c>
      <c r="F194" s="246" t="s">
        <v>443</v>
      </c>
      <c r="G194" s="231" t="s">
        <v>465</v>
      </c>
      <c r="H194" s="101" t="s">
        <v>69</v>
      </c>
      <c r="K194" s="501"/>
      <c r="L194" s="99">
        <v>13.65</v>
      </c>
      <c r="M194" s="99">
        <v>15.4</v>
      </c>
      <c r="N194" s="371"/>
      <c r="O194" s="217" t="s">
        <v>111</v>
      </c>
      <c r="P194" s="99">
        <f>M194-L194-V194</f>
        <v>1.75</v>
      </c>
      <c r="Q194" s="100">
        <f t="shared" si="18"/>
        <v>0.12820512820512819</v>
      </c>
      <c r="R194" s="99">
        <v>15.4</v>
      </c>
      <c r="S194" s="197">
        <f t="shared" si="20"/>
        <v>1.75</v>
      </c>
      <c r="T194" s="100">
        <f t="shared" si="21"/>
        <v>0.12820512820512819</v>
      </c>
      <c r="U194" s="392" t="s">
        <v>27</v>
      </c>
      <c r="V194" s="185"/>
      <c r="W194" s="455"/>
      <c r="X194" s="514"/>
    </row>
    <row r="195" spans="1:24" ht="15" customHeight="1">
      <c r="A195" s="101" t="s">
        <v>466</v>
      </c>
      <c r="B195" s="102">
        <v>20</v>
      </c>
      <c r="C195" s="101" t="s">
        <v>67</v>
      </c>
      <c r="D195" s="103">
        <v>1024</v>
      </c>
      <c r="E195" s="104" t="s">
        <v>442</v>
      </c>
      <c r="F195" s="246" t="s">
        <v>443</v>
      </c>
      <c r="G195" s="231" t="s">
        <v>467</v>
      </c>
      <c r="H195" s="101" t="s">
        <v>69</v>
      </c>
      <c r="K195" s="501"/>
      <c r="L195" s="99">
        <v>12.4</v>
      </c>
      <c r="M195" s="99">
        <v>13.95</v>
      </c>
      <c r="N195" s="371"/>
      <c r="O195" s="217" t="s">
        <v>111</v>
      </c>
      <c r="P195" s="99">
        <f>M195-L195-V195</f>
        <v>1.5499999999999989</v>
      </c>
      <c r="Q195" s="100">
        <f t="shared" si="18"/>
        <v>0.12499999999999992</v>
      </c>
      <c r="R195" s="99">
        <v>13.95</v>
      </c>
      <c r="S195" s="197">
        <f t="shared" si="20"/>
        <v>1.5499999999999989</v>
      </c>
      <c r="T195" s="100">
        <f t="shared" si="21"/>
        <v>0.12499999999999992</v>
      </c>
      <c r="U195" s="392" t="s">
        <v>27</v>
      </c>
      <c r="V195" s="185"/>
      <c r="W195" s="455"/>
      <c r="X195" s="514"/>
    </row>
    <row r="196" spans="1:24" ht="15" customHeight="1">
      <c r="A196" s="101" t="s">
        <v>468</v>
      </c>
      <c r="B196" s="102">
        <v>20</v>
      </c>
      <c r="C196" s="101" t="s">
        <v>67</v>
      </c>
      <c r="D196" s="103">
        <v>1024</v>
      </c>
      <c r="E196" s="104" t="s">
        <v>442</v>
      </c>
      <c r="F196" s="246" t="s">
        <v>443</v>
      </c>
      <c r="G196" s="231" t="s">
        <v>469</v>
      </c>
      <c r="H196" s="101"/>
      <c r="K196" s="501"/>
      <c r="L196" s="99">
        <v>22.5</v>
      </c>
      <c r="M196" s="99">
        <v>23.63</v>
      </c>
      <c r="N196" s="371"/>
      <c r="O196" s="217" t="s">
        <v>111</v>
      </c>
      <c r="P196" s="99">
        <f>M196-L196-V196</f>
        <v>1.129999999999999</v>
      </c>
      <c r="Q196" s="100">
        <f t="shared" si="18"/>
        <v>5.0222222222222175E-2</v>
      </c>
      <c r="R196" s="99"/>
      <c r="S196" s="197"/>
      <c r="T196" s="100"/>
      <c r="U196" s="392"/>
      <c r="V196" s="185"/>
      <c r="W196" s="455"/>
      <c r="X196" s="514"/>
    </row>
    <row r="197" spans="1:24">
      <c r="A197" s="112" t="s">
        <v>470</v>
      </c>
      <c r="B197" s="113">
        <v>80</v>
      </c>
      <c r="C197" s="112" t="s">
        <v>30</v>
      </c>
      <c r="D197" s="114">
        <v>1025</v>
      </c>
      <c r="E197" s="115" t="s">
        <v>471</v>
      </c>
      <c r="F197" s="247" t="s">
        <v>472</v>
      </c>
      <c r="G197" s="483" t="s">
        <v>473</v>
      </c>
      <c r="H197" s="112"/>
      <c r="K197" s="508" t="s">
        <v>475</v>
      </c>
      <c r="L197" s="116">
        <f>15.25+1</f>
        <v>16.25</v>
      </c>
      <c r="M197" s="313">
        <v>16.75</v>
      </c>
      <c r="N197" s="372"/>
      <c r="O197" s="113" t="s">
        <v>230</v>
      </c>
      <c r="P197" s="116">
        <f>M197-L197+W197</f>
        <v>0.52</v>
      </c>
      <c r="Q197" s="117">
        <f>P197/L197</f>
        <v>3.2000000000000001E-2</v>
      </c>
      <c r="R197" s="117"/>
      <c r="S197" s="117"/>
      <c r="T197" s="117"/>
      <c r="U197" s="393" t="s">
        <v>474</v>
      </c>
      <c r="V197" s="186"/>
      <c r="W197" s="446">
        <v>0.02</v>
      </c>
      <c r="X197" s="514"/>
    </row>
    <row r="198" spans="1:24">
      <c r="A198" s="112" t="s">
        <v>476</v>
      </c>
      <c r="B198" s="113">
        <v>80</v>
      </c>
      <c r="C198" s="112" t="s">
        <v>30</v>
      </c>
      <c r="D198" s="114">
        <v>1025</v>
      </c>
      <c r="E198" s="115" t="s">
        <v>471</v>
      </c>
      <c r="F198" s="247" t="s">
        <v>472</v>
      </c>
      <c r="G198" s="483" t="s">
        <v>477</v>
      </c>
      <c r="H198" s="112"/>
      <c r="K198" s="508" t="s">
        <v>475</v>
      </c>
      <c r="L198" s="116">
        <f>16.85+1+0.2</f>
        <v>18.05</v>
      </c>
      <c r="M198" s="313">
        <v>18.5</v>
      </c>
      <c r="N198" s="372"/>
      <c r="O198" s="113" t="s">
        <v>230</v>
      </c>
      <c r="P198" s="116">
        <f>M198-L198+W198</f>
        <v>0.46999999999999931</v>
      </c>
      <c r="Q198" s="117">
        <f t="shared" ref="Q198:Q261" si="22">P198/L198</f>
        <v>2.6038781163434863E-2</v>
      </c>
      <c r="R198" s="117"/>
      <c r="S198" s="117"/>
      <c r="T198" s="117"/>
      <c r="U198" s="393" t="s">
        <v>474</v>
      </c>
      <c r="V198" s="186"/>
      <c r="W198" s="446">
        <v>0.02</v>
      </c>
      <c r="X198" s="514"/>
    </row>
    <row r="199" spans="1:24">
      <c r="A199" s="105" t="s">
        <v>478</v>
      </c>
      <c r="B199" s="106">
        <v>20</v>
      </c>
      <c r="C199" s="105" t="s">
        <v>67</v>
      </c>
      <c r="D199" s="107">
        <v>1026</v>
      </c>
      <c r="E199" s="108" t="s">
        <v>479</v>
      </c>
      <c r="F199" s="248" t="s">
        <v>118</v>
      </c>
      <c r="G199" s="484" t="s">
        <v>465</v>
      </c>
      <c r="H199" s="105" t="s">
        <v>69</v>
      </c>
      <c r="K199" s="509"/>
      <c r="L199" s="109">
        <v>13.65</v>
      </c>
      <c r="M199" s="109">
        <v>14.741763134461264</v>
      </c>
      <c r="N199" s="373">
        <f>12.13*M199</f>
        <v>178.81758682101514</v>
      </c>
      <c r="O199" s="218" t="s">
        <v>120</v>
      </c>
      <c r="P199" s="110">
        <f t="shared" ref="P199:P205" si="23">M199-L199</f>
        <v>1.0917631344612637</v>
      </c>
      <c r="Q199" s="111">
        <f t="shared" si="22"/>
        <v>7.9982647213279398E-2</v>
      </c>
      <c r="R199" s="111"/>
      <c r="S199" s="111"/>
      <c r="T199" s="111"/>
      <c r="U199" s="394" t="s">
        <v>27</v>
      </c>
      <c r="V199" s="187"/>
      <c r="W199" s="447"/>
      <c r="X199" s="514"/>
    </row>
    <row r="200" spans="1:24">
      <c r="A200" s="105" t="s">
        <v>480</v>
      </c>
      <c r="B200" s="106">
        <v>20</v>
      </c>
      <c r="C200" s="105" t="s">
        <v>67</v>
      </c>
      <c r="D200" s="107">
        <v>1026</v>
      </c>
      <c r="E200" s="108" t="s">
        <v>479</v>
      </c>
      <c r="F200" s="248" t="s">
        <v>118</v>
      </c>
      <c r="G200" s="484" t="s">
        <v>467</v>
      </c>
      <c r="H200" s="105" t="s">
        <v>69</v>
      </c>
      <c r="K200" s="509"/>
      <c r="L200" s="109">
        <v>12.4</v>
      </c>
      <c r="M200" s="109">
        <v>13.4</v>
      </c>
      <c r="N200" s="373">
        <f t="shared" ref="N200:N216" si="24">12.13*M200</f>
        <v>162.542</v>
      </c>
      <c r="O200" s="218" t="s">
        <v>120</v>
      </c>
      <c r="P200" s="110">
        <f t="shared" si="23"/>
        <v>1</v>
      </c>
      <c r="Q200" s="111">
        <f t="shared" si="22"/>
        <v>8.0645161290322578E-2</v>
      </c>
      <c r="R200" s="111"/>
      <c r="S200" s="111"/>
      <c r="T200" s="111"/>
      <c r="U200" s="394" t="s">
        <v>27</v>
      </c>
      <c r="V200" s="187"/>
      <c r="W200" s="447"/>
      <c r="X200" s="514"/>
    </row>
    <row r="201" spans="1:24">
      <c r="A201" s="105" t="s">
        <v>481</v>
      </c>
      <c r="B201" s="106">
        <v>20</v>
      </c>
      <c r="C201" s="105" t="s">
        <v>67</v>
      </c>
      <c r="D201" s="107">
        <v>1026</v>
      </c>
      <c r="E201" s="108" t="s">
        <v>479</v>
      </c>
      <c r="F201" s="248" t="s">
        <v>118</v>
      </c>
      <c r="G201" s="484" t="s">
        <v>234</v>
      </c>
      <c r="H201" s="105" t="s">
        <v>92</v>
      </c>
      <c r="K201" s="509"/>
      <c r="L201" s="109">
        <v>13.55</v>
      </c>
      <c r="M201" s="109">
        <v>15.07</v>
      </c>
      <c r="N201" s="373">
        <f t="shared" si="24"/>
        <v>182.79910000000001</v>
      </c>
      <c r="O201" s="218" t="s">
        <v>120</v>
      </c>
      <c r="P201" s="110">
        <f t="shared" si="23"/>
        <v>1.5199999999999996</v>
      </c>
      <c r="Q201" s="111">
        <f t="shared" si="22"/>
        <v>0.11217712177121768</v>
      </c>
      <c r="R201" s="111"/>
      <c r="S201" s="111"/>
      <c r="T201" s="111"/>
      <c r="U201" s="394" t="s">
        <v>27</v>
      </c>
      <c r="V201" s="187"/>
      <c r="W201" s="447"/>
      <c r="X201" s="514"/>
    </row>
    <row r="202" spans="1:24">
      <c r="A202" s="105" t="s">
        <v>482</v>
      </c>
      <c r="B202" s="106">
        <v>20</v>
      </c>
      <c r="C202" s="105" t="s">
        <v>67</v>
      </c>
      <c r="D202" s="107">
        <v>1026</v>
      </c>
      <c r="E202" s="108" t="s">
        <v>479</v>
      </c>
      <c r="F202" s="248" t="s">
        <v>118</v>
      </c>
      <c r="G202" s="484" t="s">
        <v>224</v>
      </c>
      <c r="H202" s="105" t="s">
        <v>358</v>
      </c>
      <c r="K202" s="509"/>
      <c r="L202" s="109">
        <v>14.15</v>
      </c>
      <c r="M202" s="109">
        <f>171.62/11.23</f>
        <v>15.282279608192342</v>
      </c>
      <c r="N202" s="373">
        <f t="shared" si="24"/>
        <v>185.37405164737311</v>
      </c>
      <c r="O202" s="218" t="s">
        <v>120</v>
      </c>
      <c r="P202" s="110">
        <f t="shared" si="23"/>
        <v>1.1322796081923414</v>
      </c>
      <c r="Q202" s="111">
        <f t="shared" si="22"/>
        <v>8.0019760296278539E-2</v>
      </c>
      <c r="R202" s="111"/>
      <c r="S202" s="111"/>
      <c r="T202" s="111"/>
      <c r="U202" s="394" t="s">
        <v>27</v>
      </c>
      <c r="V202" s="187"/>
      <c r="W202" s="447"/>
      <c r="X202" s="514"/>
    </row>
    <row r="203" spans="1:24">
      <c r="A203" s="105" t="s">
        <v>483</v>
      </c>
      <c r="B203" s="106">
        <v>20</v>
      </c>
      <c r="C203" s="105" t="s">
        <v>67</v>
      </c>
      <c r="D203" s="107">
        <v>1026</v>
      </c>
      <c r="E203" s="108" t="s">
        <v>479</v>
      </c>
      <c r="F203" s="248" t="s">
        <v>118</v>
      </c>
      <c r="G203" s="484" t="s">
        <v>122</v>
      </c>
      <c r="H203" s="105" t="s">
        <v>92</v>
      </c>
      <c r="K203" s="509"/>
      <c r="L203" s="109">
        <v>15.15</v>
      </c>
      <c r="M203" s="109">
        <f>180.41/11.23</f>
        <v>16.065004452359751</v>
      </c>
      <c r="N203" s="373">
        <f t="shared" si="24"/>
        <v>194.86850400712379</v>
      </c>
      <c r="O203" s="218" t="s">
        <v>120</v>
      </c>
      <c r="P203" s="110">
        <f t="shared" si="23"/>
        <v>0.91500445235975114</v>
      </c>
      <c r="Q203" s="111">
        <f t="shared" si="22"/>
        <v>6.0396333489092485E-2</v>
      </c>
      <c r="R203" s="111"/>
      <c r="S203" s="111"/>
      <c r="T203" s="111"/>
      <c r="U203" s="394" t="s">
        <v>27</v>
      </c>
      <c r="V203" s="187"/>
      <c r="W203" s="447"/>
      <c r="X203" s="514"/>
    </row>
    <row r="204" spans="1:24">
      <c r="A204" s="105" t="s">
        <v>484</v>
      </c>
      <c r="B204" s="106">
        <v>20</v>
      </c>
      <c r="C204" s="105" t="s">
        <v>67</v>
      </c>
      <c r="D204" s="107">
        <v>1026</v>
      </c>
      <c r="E204" s="108" t="s">
        <v>479</v>
      </c>
      <c r="F204" s="248" t="s">
        <v>118</v>
      </c>
      <c r="G204" s="484" t="s">
        <v>485</v>
      </c>
      <c r="H204" s="105" t="s">
        <v>486</v>
      </c>
      <c r="K204" s="509"/>
      <c r="L204" s="109">
        <v>11</v>
      </c>
      <c r="M204" s="109">
        <f>133.41/11.23</f>
        <v>11.879786286731967</v>
      </c>
      <c r="N204" s="373">
        <f t="shared" si="24"/>
        <v>144.10180765805876</v>
      </c>
      <c r="O204" s="218" t="s">
        <v>120</v>
      </c>
      <c r="P204" s="110">
        <f t="shared" si="23"/>
        <v>0.87978628673196724</v>
      </c>
      <c r="Q204" s="111">
        <f t="shared" si="22"/>
        <v>7.9980571521087937E-2</v>
      </c>
      <c r="R204" s="111"/>
      <c r="S204" s="111"/>
      <c r="T204" s="111"/>
      <c r="U204" s="394" t="s">
        <v>27</v>
      </c>
      <c r="V204" s="187"/>
      <c r="W204" s="447"/>
      <c r="X204" s="514"/>
    </row>
    <row r="205" spans="1:24">
      <c r="A205" s="105" t="s">
        <v>487</v>
      </c>
      <c r="B205" s="106">
        <v>20</v>
      </c>
      <c r="C205" s="105" t="s">
        <v>67</v>
      </c>
      <c r="D205" s="107">
        <v>1026</v>
      </c>
      <c r="E205" s="108" t="s">
        <v>479</v>
      </c>
      <c r="F205" s="248" t="s">
        <v>118</v>
      </c>
      <c r="G205" s="485" t="s">
        <v>488</v>
      </c>
      <c r="H205" s="227" t="s">
        <v>217</v>
      </c>
      <c r="K205" s="509"/>
      <c r="L205" s="228">
        <v>10.199999999999999</v>
      </c>
      <c r="M205" s="109">
        <v>12.6</v>
      </c>
      <c r="N205" s="373">
        <f t="shared" si="24"/>
        <v>152.83799999999999</v>
      </c>
      <c r="O205" s="218" t="s">
        <v>120</v>
      </c>
      <c r="P205" s="110">
        <f t="shared" si="23"/>
        <v>2.4000000000000004</v>
      </c>
      <c r="Q205" s="111">
        <f t="shared" si="22"/>
        <v>0.23529411764705888</v>
      </c>
      <c r="R205" s="111"/>
      <c r="S205" s="111"/>
      <c r="T205" s="111"/>
      <c r="U205" s="394" t="s">
        <v>27</v>
      </c>
      <c r="V205" s="187"/>
      <c r="W205" s="447"/>
      <c r="X205" s="514"/>
    </row>
    <row r="206" spans="1:24" ht="15" customHeight="1">
      <c r="A206" s="105">
        <v>15</v>
      </c>
      <c r="B206" s="106">
        <v>20</v>
      </c>
      <c r="C206" s="105" t="s">
        <v>67</v>
      </c>
      <c r="D206" s="107">
        <v>1026</v>
      </c>
      <c r="E206" s="108" t="s">
        <v>479</v>
      </c>
      <c r="F206" s="248" t="s">
        <v>118</v>
      </c>
      <c r="G206" s="484" t="s">
        <v>489</v>
      </c>
      <c r="H206" s="105" t="s">
        <v>92</v>
      </c>
      <c r="K206" s="509"/>
      <c r="L206" s="109">
        <v>8.9</v>
      </c>
      <c r="M206" s="109">
        <v>9.7899999999999991</v>
      </c>
      <c r="N206" s="373">
        <f t="shared" si="24"/>
        <v>118.7527</v>
      </c>
      <c r="O206" s="218" t="s">
        <v>120</v>
      </c>
      <c r="P206" s="110">
        <v>0.89</v>
      </c>
      <c r="Q206" s="111">
        <f t="shared" si="22"/>
        <v>9.9999999999999992E-2</v>
      </c>
      <c r="R206" s="161"/>
      <c r="S206" s="161"/>
      <c r="T206" s="161"/>
      <c r="U206" s="395" t="s">
        <v>27</v>
      </c>
      <c r="V206" s="187"/>
      <c r="W206" s="448"/>
      <c r="X206" s="514"/>
    </row>
    <row r="207" spans="1:24" ht="15" customHeight="1">
      <c r="A207" s="105" t="s">
        <v>490</v>
      </c>
      <c r="B207" s="106">
        <v>20</v>
      </c>
      <c r="C207" s="105" t="s">
        <v>67</v>
      </c>
      <c r="D207" s="107">
        <v>1026</v>
      </c>
      <c r="E207" s="108" t="s">
        <v>479</v>
      </c>
      <c r="F207" s="248" t="s">
        <v>118</v>
      </c>
      <c r="G207" s="484" t="s">
        <v>491</v>
      </c>
      <c r="H207" s="105" t="s">
        <v>492</v>
      </c>
      <c r="K207" s="509"/>
      <c r="L207" s="109">
        <v>16.25</v>
      </c>
      <c r="M207" s="109">
        <v>17.88</v>
      </c>
      <c r="N207" s="373">
        <f t="shared" si="24"/>
        <v>216.8844</v>
      </c>
      <c r="O207" s="218" t="s">
        <v>120</v>
      </c>
      <c r="P207" s="110">
        <v>1.63</v>
      </c>
      <c r="Q207" s="111">
        <f t="shared" si="22"/>
        <v>0.10030769230769231</v>
      </c>
      <c r="R207" s="161"/>
      <c r="S207" s="161"/>
      <c r="T207" s="161"/>
      <c r="U207" s="395" t="s">
        <v>27</v>
      </c>
      <c r="V207" s="187"/>
      <c r="W207" s="448"/>
      <c r="X207" s="514"/>
    </row>
    <row r="208" spans="1:24">
      <c r="A208" s="105" t="s">
        <v>493</v>
      </c>
      <c r="B208" s="106">
        <v>30</v>
      </c>
      <c r="C208" s="105" t="s">
        <v>203</v>
      </c>
      <c r="D208" s="107">
        <v>1026</v>
      </c>
      <c r="E208" s="108" t="s">
        <v>479</v>
      </c>
      <c r="F208" s="248" t="s">
        <v>118</v>
      </c>
      <c r="G208" s="484" t="s">
        <v>494</v>
      </c>
      <c r="H208" s="105"/>
      <c r="K208" s="509"/>
      <c r="L208" s="109">
        <v>15.7</v>
      </c>
      <c r="M208" s="109">
        <v>16.440000000000001</v>
      </c>
      <c r="N208" s="373">
        <f t="shared" si="24"/>
        <v>199.41720000000004</v>
      </c>
      <c r="O208" s="218" t="s">
        <v>120</v>
      </c>
      <c r="P208" s="110">
        <f t="shared" ref="P208:P220" si="25">M208-L208</f>
        <v>0.74000000000000199</v>
      </c>
      <c r="Q208" s="111">
        <f t="shared" si="22"/>
        <v>4.7133757961783568E-2</v>
      </c>
      <c r="R208" s="111"/>
      <c r="S208" s="111"/>
      <c r="T208" s="111"/>
      <c r="U208" s="394" t="s">
        <v>27</v>
      </c>
      <c r="V208" s="187"/>
      <c r="W208" s="447"/>
      <c r="X208" s="514"/>
    </row>
    <row r="209" spans="1:24">
      <c r="A209" s="105" t="s">
        <v>495</v>
      </c>
      <c r="B209" s="106">
        <v>30</v>
      </c>
      <c r="C209" s="105" t="s">
        <v>203</v>
      </c>
      <c r="D209" s="107">
        <v>1026</v>
      </c>
      <c r="E209" s="108" t="s">
        <v>479</v>
      </c>
      <c r="F209" s="248" t="s">
        <v>118</v>
      </c>
      <c r="G209" s="484" t="s">
        <v>496</v>
      </c>
      <c r="H209" s="105"/>
      <c r="K209" s="509"/>
      <c r="L209" s="109">
        <v>16.3</v>
      </c>
      <c r="M209" s="109">
        <v>17.28</v>
      </c>
      <c r="N209" s="373">
        <f t="shared" si="24"/>
        <v>209.60640000000004</v>
      </c>
      <c r="O209" s="218" t="s">
        <v>120</v>
      </c>
      <c r="P209" s="110">
        <f t="shared" si="25"/>
        <v>0.98000000000000043</v>
      </c>
      <c r="Q209" s="111">
        <f t="shared" si="22"/>
        <v>6.0122699386503088E-2</v>
      </c>
      <c r="R209" s="111"/>
      <c r="S209" s="111"/>
      <c r="T209" s="111"/>
      <c r="U209" s="394" t="s">
        <v>27</v>
      </c>
      <c r="V209" s="187"/>
      <c r="W209" s="447"/>
      <c r="X209" s="514"/>
    </row>
    <row r="210" spans="1:24">
      <c r="A210" s="105" t="s">
        <v>497</v>
      </c>
      <c r="B210" s="106">
        <v>30</v>
      </c>
      <c r="C210" s="105" t="s">
        <v>203</v>
      </c>
      <c r="D210" s="107">
        <v>1026</v>
      </c>
      <c r="E210" s="108" t="s">
        <v>479</v>
      </c>
      <c r="F210" s="248" t="s">
        <v>118</v>
      </c>
      <c r="G210" s="484" t="s">
        <v>498</v>
      </c>
      <c r="H210" s="105"/>
      <c r="K210" s="509"/>
      <c r="L210" s="109">
        <v>16.7</v>
      </c>
      <c r="M210" s="109">
        <v>18.03</v>
      </c>
      <c r="N210" s="373">
        <f t="shared" si="24"/>
        <v>218.70390000000003</v>
      </c>
      <c r="O210" s="218" t="s">
        <v>120</v>
      </c>
      <c r="P210" s="110">
        <f t="shared" si="25"/>
        <v>1.3300000000000018</v>
      </c>
      <c r="Q210" s="111">
        <f t="shared" si="22"/>
        <v>7.9640718562874371E-2</v>
      </c>
      <c r="R210" s="111"/>
      <c r="S210" s="111"/>
      <c r="T210" s="111"/>
      <c r="U210" s="394" t="s">
        <v>27</v>
      </c>
      <c r="V210" s="187"/>
      <c r="W210" s="447"/>
      <c r="X210" s="514"/>
    </row>
    <row r="211" spans="1:24">
      <c r="A211" s="105" t="s">
        <v>499</v>
      </c>
      <c r="B211" s="106">
        <v>30</v>
      </c>
      <c r="C211" s="105" t="s">
        <v>203</v>
      </c>
      <c r="D211" s="107">
        <v>1026</v>
      </c>
      <c r="E211" s="108" t="s">
        <v>479</v>
      </c>
      <c r="F211" s="248" t="s">
        <v>118</v>
      </c>
      <c r="G211" s="484" t="s">
        <v>459</v>
      </c>
      <c r="H211" s="105"/>
      <c r="K211" s="509"/>
      <c r="L211" s="109">
        <v>18.149999999999999</v>
      </c>
      <c r="M211" s="109">
        <v>19.48</v>
      </c>
      <c r="N211" s="373">
        <f t="shared" si="24"/>
        <v>236.29240000000001</v>
      </c>
      <c r="O211" s="218" t="s">
        <v>120</v>
      </c>
      <c r="P211" s="110">
        <f t="shared" si="25"/>
        <v>1.3300000000000018</v>
      </c>
      <c r="Q211" s="111">
        <f t="shared" si="22"/>
        <v>7.3278236914600656E-2</v>
      </c>
      <c r="R211" s="111"/>
      <c r="S211" s="111"/>
      <c r="T211" s="111"/>
      <c r="U211" s="394" t="s">
        <v>27</v>
      </c>
      <c r="V211" s="187"/>
      <c r="W211" s="447"/>
      <c r="X211" s="514"/>
    </row>
    <row r="212" spans="1:24">
      <c r="A212" s="105" t="s">
        <v>500</v>
      </c>
      <c r="B212" s="106">
        <v>30</v>
      </c>
      <c r="C212" s="105" t="s">
        <v>203</v>
      </c>
      <c r="D212" s="107">
        <v>1026</v>
      </c>
      <c r="E212" s="108" t="s">
        <v>479</v>
      </c>
      <c r="F212" s="248" t="s">
        <v>118</v>
      </c>
      <c r="G212" s="484" t="s">
        <v>268</v>
      </c>
      <c r="H212" s="105"/>
      <c r="K212" s="509"/>
      <c r="L212" s="109">
        <v>18.100000000000001</v>
      </c>
      <c r="M212" s="109">
        <v>18.739999999999998</v>
      </c>
      <c r="N212" s="373">
        <f t="shared" si="24"/>
        <v>227.31620000000001</v>
      </c>
      <c r="O212" s="218" t="s">
        <v>120</v>
      </c>
      <c r="P212" s="110">
        <f t="shared" si="25"/>
        <v>0.63999999999999702</v>
      </c>
      <c r="Q212" s="111">
        <f t="shared" si="22"/>
        <v>3.5359116022099277E-2</v>
      </c>
      <c r="R212" s="111"/>
      <c r="S212" s="111"/>
      <c r="T212" s="111"/>
      <c r="U212" s="394" t="s">
        <v>27</v>
      </c>
      <c r="V212" s="187"/>
      <c r="W212" s="447"/>
      <c r="X212" s="514"/>
    </row>
    <row r="213" spans="1:24" ht="15" customHeight="1">
      <c r="A213" s="105" t="s">
        <v>501</v>
      </c>
      <c r="B213" s="106">
        <v>30</v>
      </c>
      <c r="C213" s="105" t="s">
        <v>203</v>
      </c>
      <c r="D213" s="107">
        <v>1026</v>
      </c>
      <c r="E213" s="108" t="s">
        <v>479</v>
      </c>
      <c r="F213" s="248" t="s">
        <v>118</v>
      </c>
      <c r="G213" s="484" t="s">
        <v>502</v>
      </c>
      <c r="H213" s="105"/>
      <c r="K213" s="509"/>
      <c r="L213" s="109">
        <v>13.85</v>
      </c>
      <c r="M213" s="109">
        <v>19.420000000000002</v>
      </c>
      <c r="N213" s="373">
        <f t="shared" si="24"/>
        <v>235.56460000000004</v>
      </c>
      <c r="O213" s="218" t="s">
        <v>120</v>
      </c>
      <c r="P213" s="110">
        <f t="shared" si="25"/>
        <v>5.5700000000000021</v>
      </c>
      <c r="Q213" s="111">
        <f t="shared" si="22"/>
        <v>0.40216606498194962</v>
      </c>
      <c r="R213" s="161"/>
      <c r="S213" s="161"/>
      <c r="T213" s="161"/>
      <c r="U213" s="395" t="s">
        <v>27</v>
      </c>
      <c r="V213" s="187"/>
      <c r="W213" s="448"/>
      <c r="X213" s="514"/>
    </row>
    <row r="214" spans="1:24" ht="15" customHeight="1">
      <c r="A214" s="105" t="s">
        <v>503</v>
      </c>
      <c r="B214" s="106">
        <v>20</v>
      </c>
      <c r="C214" s="105" t="s">
        <v>67</v>
      </c>
      <c r="D214" s="107">
        <v>1026</v>
      </c>
      <c r="E214" s="108" t="s">
        <v>479</v>
      </c>
      <c r="F214" s="248" t="s">
        <v>118</v>
      </c>
      <c r="G214" s="484" t="s">
        <v>308</v>
      </c>
      <c r="H214" s="105" t="s">
        <v>309</v>
      </c>
      <c r="K214" s="502" t="s">
        <v>310</v>
      </c>
      <c r="L214" s="109">
        <v>8.4</v>
      </c>
      <c r="M214" s="109">
        <v>9.41</v>
      </c>
      <c r="N214" s="373">
        <f t="shared" si="24"/>
        <v>114.14330000000001</v>
      </c>
      <c r="O214" s="218" t="s">
        <v>120</v>
      </c>
      <c r="P214" s="110">
        <f t="shared" si="25"/>
        <v>1.0099999999999998</v>
      </c>
      <c r="Q214" s="111">
        <f t="shared" si="22"/>
        <v>0.12023809523809521</v>
      </c>
      <c r="U214" s="395" t="s">
        <v>27</v>
      </c>
      <c r="V214" s="187"/>
      <c r="W214" s="448"/>
      <c r="X214" s="514"/>
    </row>
    <row r="215" spans="1:24">
      <c r="A215" s="105" t="s">
        <v>504</v>
      </c>
      <c r="B215" s="106">
        <v>20</v>
      </c>
      <c r="C215" s="105" t="s">
        <v>67</v>
      </c>
      <c r="D215" s="107">
        <v>1026</v>
      </c>
      <c r="E215" s="108" t="s">
        <v>479</v>
      </c>
      <c r="F215" s="248" t="s">
        <v>118</v>
      </c>
      <c r="G215" s="484" t="s">
        <v>505</v>
      </c>
      <c r="H215" s="105" t="s">
        <v>309</v>
      </c>
      <c r="K215" s="502" t="s">
        <v>310</v>
      </c>
      <c r="L215" s="109">
        <v>9.4499999999999993</v>
      </c>
      <c r="M215" s="109">
        <v>10.58</v>
      </c>
      <c r="N215" s="373">
        <f t="shared" si="24"/>
        <v>128.33540000000002</v>
      </c>
      <c r="O215" s="218" t="s">
        <v>120</v>
      </c>
      <c r="P215" s="110">
        <f t="shared" si="25"/>
        <v>1.1300000000000008</v>
      </c>
      <c r="Q215" s="111">
        <f t="shared" si="22"/>
        <v>0.11957671957671967</v>
      </c>
      <c r="U215" s="395" t="s">
        <v>27</v>
      </c>
      <c r="V215" s="187"/>
      <c r="W215" s="448"/>
      <c r="X215" s="514"/>
    </row>
    <row r="216" spans="1:24">
      <c r="A216" s="105" t="s">
        <v>506</v>
      </c>
      <c r="B216" s="106">
        <v>20</v>
      </c>
      <c r="C216" s="105" t="s">
        <v>67</v>
      </c>
      <c r="D216" s="107">
        <v>1026</v>
      </c>
      <c r="E216" s="108" t="s">
        <v>479</v>
      </c>
      <c r="F216" s="248" t="s">
        <v>118</v>
      </c>
      <c r="G216" s="484" t="s">
        <v>507</v>
      </c>
      <c r="H216" s="105" t="s">
        <v>508</v>
      </c>
      <c r="K216" s="509"/>
      <c r="L216" s="109">
        <v>10.58</v>
      </c>
      <c r="M216" s="109">
        <v>12.7</v>
      </c>
      <c r="N216" s="373">
        <f t="shared" si="24"/>
        <v>154.05099999999999</v>
      </c>
      <c r="O216" s="218" t="s">
        <v>120</v>
      </c>
      <c r="P216" s="110">
        <f t="shared" si="25"/>
        <v>2.1199999999999992</v>
      </c>
      <c r="Q216" s="111">
        <f t="shared" si="22"/>
        <v>0.20037807183364831</v>
      </c>
      <c r="U216" s="395" t="s">
        <v>27</v>
      </c>
      <c r="V216" s="187"/>
      <c r="W216" s="448"/>
      <c r="X216" s="514"/>
    </row>
    <row r="217" spans="1:24">
      <c r="A217" s="120" t="s">
        <v>509</v>
      </c>
      <c r="B217" s="121">
        <v>20</v>
      </c>
      <c r="C217" s="120" t="s">
        <v>67</v>
      </c>
      <c r="D217" s="122">
        <v>1027</v>
      </c>
      <c r="E217" s="123" t="s">
        <v>510</v>
      </c>
      <c r="F217" s="249" t="s">
        <v>511</v>
      </c>
      <c r="G217" s="486" t="s">
        <v>465</v>
      </c>
      <c r="H217" s="120" t="s">
        <v>512</v>
      </c>
      <c r="K217" s="501"/>
      <c r="L217" s="124">
        <v>13.65</v>
      </c>
      <c r="M217" s="124">
        <v>14.67</v>
      </c>
      <c r="N217" s="374"/>
      <c r="O217" s="219" t="s">
        <v>41</v>
      </c>
      <c r="P217" s="125">
        <f t="shared" si="25"/>
        <v>1.0199999999999996</v>
      </c>
      <c r="Q217" s="126">
        <f t="shared" si="22"/>
        <v>7.4725274725274696E-2</v>
      </c>
      <c r="R217" s="126"/>
      <c r="S217" s="126"/>
      <c r="T217" s="126"/>
      <c r="U217" s="396" t="s">
        <v>27</v>
      </c>
      <c r="V217" s="188"/>
      <c r="W217" s="449"/>
      <c r="X217" s="514"/>
    </row>
    <row r="218" spans="1:24">
      <c r="A218" s="120" t="s">
        <v>513</v>
      </c>
      <c r="B218" s="121">
        <v>20</v>
      </c>
      <c r="C218" s="120" t="s">
        <v>67</v>
      </c>
      <c r="D218" s="122">
        <v>1027</v>
      </c>
      <c r="E218" s="123" t="s">
        <v>510</v>
      </c>
      <c r="F218" s="249" t="s">
        <v>511</v>
      </c>
      <c r="G218" s="486" t="s">
        <v>467</v>
      </c>
      <c r="H218" s="120" t="s">
        <v>512</v>
      </c>
      <c r="K218" s="501"/>
      <c r="L218" s="124">
        <v>12.4</v>
      </c>
      <c r="M218" s="124">
        <v>13.33</v>
      </c>
      <c r="N218" s="374"/>
      <c r="O218" s="219" t="s">
        <v>41</v>
      </c>
      <c r="P218" s="125">
        <f t="shared" si="25"/>
        <v>0.92999999999999972</v>
      </c>
      <c r="Q218" s="126">
        <f t="shared" si="22"/>
        <v>7.4999999999999969E-2</v>
      </c>
      <c r="R218" s="126"/>
      <c r="S218" s="126"/>
      <c r="T218" s="126"/>
      <c r="U218" s="396" t="s">
        <v>27</v>
      </c>
      <c r="V218" s="188"/>
      <c r="W218" s="449"/>
      <c r="X218" s="514"/>
    </row>
    <row r="219" spans="1:24">
      <c r="A219" s="120" t="s">
        <v>514</v>
      </c>
      <c r="B219" s="121">
        <v>20</v>
      </c>
      <c r="C219" s="120" t="s">
        <v>67</v>
      </c>
      <c r="D219" s="122">
        <v>1027</v>
      </c>
      <c r="E219" s="123" t="s">
        <v>510</v>
      </c>
      <c r="F219" s="249" t="s">
        <v>511</v>
      </c>
      <c r="G219" s="486" t="s">
        <v>155</v>
      </c>
      <c r="H219" s="120" t="s">
        <v>512</v>
      </c>
      <c r="K219" s="501"/>
      <c r="L219" s="124">
        <v>12.8</v>
      </c>
      <c r="M219" s="124">
        <v>13.76</v>
      </c>
      <c r="N219" s="374"/>
      <c r="O219" s="219" t="s">
        <v>41</v>
      </c>
      <c r="P219" s="125">
        <f t="shared" si="25"/>
        <v>0.95999999999999908</v>
      </c>
      <c r="Q219" s="126">
        <f t="shared" si="22"/>
        <v>7.4999999999999928E-2</v>
      </c>
      <c r="R219" s="126"/>
      <c r="S219" s="126"/>
      <c r="T219" s="126"/>
      <c r="U219" s="396" t="s">
        <v>27</v>
      </c>
      <c r="V219" s="188"/>
      <c r="W219" s="449"/>
      <c r="X219" s="514"/>
    </row>
    <row r="220" spans="1:24">
      <c r="A220" s="120" t="s">
        <v>515</v>
      </c>
      <c r="B220" s="121">
        <v>20</v>
      </c>
      <c r="C220" s="120" t="s">
        <v>67</v>
      </c>
      <c r="D220" s="122">
        <v>1027</v>
      </c>
      <c r="E220" s="123" t="s">
        <v>510</v>
      </c>
      <c r="F220" s="249" t="s">
        <v>511</v>
      </c>
      <c r="G220" s="486" t="s">
        <v>161</v>
      </c>
      <c r="H220" s="120" t="s">
        <v>516</v>
      </c>
      <c r="K220" s="501"/>
      <c r="L220" s="124">
        <v>11</v>
      </c>
      <c r="M220" s="124">
        <v>12</v>
      </c>
      <c r="N220" s="374"/>
      <c r="O220" s="219" t="s">
        <v>41</v>
      </c>
      <c r="P220" s="125">
        <f t="shared" si="25"/>
        <v>1</v>
      </c>
      <c r="Q220" s="126">
        <f t="shared" si="22"/>
        <v>9.0909090909090912E-2</v>
      </c>
      <c r="R220" s="126"/>
      <c r="S220" s="126"/>
      <c r="T220" s="126"/>
      <c r="U220" s="396" t="s">
        <v>27</v>
      </c>
      <c r="V220" s="188"/>
      <c r="W220" s="449"/>
      <c r="X220" s="514"/>
    </row>
    <row r="221" spans="1:24">
      <c r="A221" s="120" t="s">
        <v>517</v>
      </c>
      <c r="B221" s="121">
        <v>120</v>
      </c>
      <c r="C221" s="120" t="s">
        <v>36</v>
      </c>
      <c r="D221" s="122">
        <v>1027</v>
      </c>
      <c r="E221" s="123" t="s">
        <v>510</v>
      </c>
      <c r="F221" s="249" t="s">
        <v>511</v>
      </c>
      <c r="G221" s="486" t="s">
        <v>518</v>
      </c>
      <c r="H221" s="120"/>
      <c r="K221" s="501"/>
      <c r="L221" s="128">
        <v>14.05</v>
      </c>
      <c r="M221" s="124">
        <v>14.3</v>
      </c>
      <c r="N221" s="375"/>
      <c r="O221" s="219" t="s">
        <v>41</v>
      </c>
      <c r="P221" s="125">
        <f t="shared" ref="P221:P234" si="26">M221-L221+W221</f>
        <v>0.65</v>
      </c>
      <c r="Q221" s="126">
        <f t="shared" si="22"/>
        <v>4.6263345195729534E-2</v>
      </c>
      <c r="R221" s="126"/>
      <c r="S221" s="126"/>
      <c r="T221" s="126"/>
      <c r="U221" s="396" t="s">
        <v>27</v>
      </c>
      <c r="V221" s="188"/>
      <c r="W221" s="449">
        <v>0.4</v>
      </c>
      <c r="X221" s="514"/>
    </row>
    <row r="222" spans="1:24">
      <c r="A222" s="120" t="s">
        <v>517</v>
      </c>
      <c r="B222" s="121">
        <v>20</v>
      </c>
      <c r="C222" s="120" t="s">
        <v>67</v>
      </c>
      <c r="D222" s="122">
        <v>1027</v>
      </c>
      <c r="E222" s="123" t="s">
        <v>510</v>
      </c>
      <c r="F222" s="249" t="s">
        <v>511</v>
      </c>
      <c r="G222" s="486" t="s">
        <v>122</v>
      </c>
      <c r="H222" s="120" t="s">
        <v>92</v>
      </c>
      <c r="K222" s="501"/>
      <c r="L222" s="128">
        <v>15.15</v>
      </c>
      <c r="M222" s="124">
        <v>15.51</v>
      </c>
      <c r="N222" s="375"/>
      <c r="O222" s="219" t="s">
        <v>41</v>
      </c>
      <c r="P222" s="125">
        <f t="shared" si="26"/>
        <v>0.75999999999999945</v>
      </c>
      <c r="Q222" s="126">
        <f t="shared" si="22"/>
        <v>5.0165016501650131E-2</v>
      </c>
      <c r="R222" s="126"/>
      <c r="S222" s="126"/>
      <c r="T222" s="126"/>
      <c r="U222" s="396" t="s">
        <v>27</v>
      </c>
      <c r="V222" s="188"/>
      <c r="W222" s="449">
        <v>0.4</v>
      </c>
      <c r="X222" s="514"/>
    </row>
    <row r="223" spans="1:24">
      <c r="A223" s="120" t="s">
        <v>519</v>
      </c>
      <c r="B223" s="121">
        <v>120</v>
      </c>
      <c r="C223" s="120" t="s">
        <v>36</v>
      </c>
      <c r="D223" s="122">
        <v>1027</v>
      </c>
      <c r="E223" s="123" t="s">
        <v>510</v>
      </c>
      <c r="F223" s="249" t="s">
        <v>511</v>
      </c>
      <c r="G223" s="486" t="s">
        <v>409</v>
      </c>
      <c r="H223" s="120"/>
      <c r="K223" s="501"/>
      <c r="L223" s="128">
        <v>17.899999999999999</v>
      </c>
      <c r="M223" s="124">
        <v>18.920000000000002</v>
      </c>
      <c r="N223" s="375"/>
      <c r="O223" s="219" t="s">
        <v>41</v>
      </c>
      <c r="P223" s="125">
        <f t="shared" si="26"/>
        <v>1.420000000000003</v>
      </c>
      <c r="Q223" s="126">
        <f t="shared" si="22"/>
        <v>7.9329608938547666E-2</v>
      </c>
      <c r="R223" s="126"/>
      <c r="S223" s="126"/>
      <c r="T223" s="126"/>
      <c r="U223" s="396" t="s">
        <v>27</v>
      </c>
      <c r="V223" s="188"/>
      <c r="W223" s="449">
        <v>0.4</v>
      </c>
      <c r="X223" s="514"/>
    </row>
    <row r="224" spans="1:24">
      <c r="A224" s="120" t="s">
        <v>520</v>
      </c>
      <c r="B224" s="121">
        <v>20</v>
      </c>
      <c r="C224" s="120" t="s">
        <v>67</v>
      </c>
      <c r="D224" s="122">
        <v>1027</v>
      </c>
      <c r="E224" s="123" t="s">
        <v>510</v>
      </c>
      <c r="F224" s="249" t="s">
        <v>511</v>
      </c>
      <c r="G224" s="486" t="s">
        <v>521</v>
      </c>
      <c r="H224" s="120" t="s">
        <v>92</v>
      </c>
      <c r="K224" s="501"/>
      <c r="L224" s="124">
        <v>8.9</v>
      </c>
      <c r="M224" s="124">
        <v>9.1999999999999993</v>
      </c>
      <c r="N224" s="374"/>
      <c r="O224" s="219" t="s">
        <v>41</v>
      </c>
      <c r="P224" s="125">
        <f t="shared" si="26"/>
        <v>0.29999999999999893</v>
      </c>
      <c r="Q224" s="126">
        <f t="shared" si="22"/>
        <v>3.3707865168539207E-2</v>
      </c>
      <c r="R224" s="126"/>
      <c r="S224" s="126"/>
      <c r="T224" s="126"/>
      <c r="U224" s="396" t="s">
        <v>27</v>
      </c>
      <c r="V224" s="188"/>
      <c r="W224" s="449"/>
      <c r="X224" s="514"/>
    </row>
    <row r="225" spans="1:24">
      <c r="A225" s="120" t="s">
        <v>522</v>
      </c>
      <c r="B225" s="121">
        <v>20</v>
      </c>
      <c r="C225" s="120" t="s">
        <v>67</v>
      </c>
      <c r="D225" s="122">
        <v>1027</v>
      </c>
      <c r="E225" s="123" t="s">
        <v>510</v>
      </c>
      <c r="F225" s="249" t="s">
        <v>511</v>
      </c>
      <c r="G225" s="486" t="s">
        <v>491</v>
      </c>
      <c r="H225" s="120" t="s">
        <v>492</v>
      </c>
      <c r="K225" s="501"/>
      <c r="L225" s="124">
        <v>16.25</v>
      </c>
      <c r="M225" s="124">
        <v>17.04</v>
      </c>
      <c r="N225" s="374"/>
      <c r="O225" s="219" t="s">
        <v>41</v>
      </c>
      <c r="P225" s="125">
        <f t="shared" si="26"/>
        <v>0.78999999999999915</v>
      </c>
      <c r="Q225" s="126">
        <f t="shared" si="22"/>
        <v>4.861538461538456E-2</v>
      </c>
      <c r="R225" s="126"/>
      <c r="S225" s="126"/>
      <c r="T225" s="126"/>
      <c r="U225" s="396" t="s">
        <v>27</v>
      </c>
      <c r="V225" s="188"/>
      <c r="W225" s="449"/>
      <c r="X225" s="514"/>
    </row>
    <row r="226" spans="1:24">
      <c r="A226" s="120" t="s">
        <v>523</v>
      </c>
      <c r="B226" s="121">
        <v>20</v>
      </c>
      <c r="C226" s="120" t="s">
        <v>67</v>
      </c>
      <c r="D226" s="122">
        <v>1027</v>
      </c>
      <c r="E226" s="123" t="s">
        <v>510</v>
      </c>
      <c r="F226" s="249" t="s">
        <v>511</v>
      </c>
      <c r="G226" s="486" t="s">
        <v>234</v>
      </c>
      <c r="H226" s="120" t="s">
        <v>92</v>
      </c>
      <c r="K226" s="501"/>
      <c r="L226" s="124">
        <v>13.55</v>
      </c>
      <c r="M226" s="124">
        <v>14.36</v>
      </c>
      <c r="N226" s="374"/>
      <c r="O226" s="219" t="s">
        <v>41</v>
      </c>
      <c r="P226" s="125">
        <f t="shared" si="26"/>
        <v>0.80999999999999872</v>
      </c>
      <c r="Q226" s="126">
        <f t="shared" si="22"/>
        <v>5.9778597785977765E-2</v>
      </c>
      <c r="R226" s="126"/>
      <c r="S226" s="126"/>
      <c r="T226" s="126"/>
      <c r="U226" s="396" t="s">
        <v>27</v>
      </c>
      <c r="V226" s="188"/>
      <c r="W226" s="449"/>
      <c r="X226" s="514"/>
    </row>
    <row r="227" spans="1:24">
      <c r="A227" s="120" t="s">
        <v>524</v>
      </c>
      <c r="B227" s="121">
        <v>20</v>
      </c>
      <c r="C227" s="120" t="s">
        <v>67</v>
      </c>
      <c r="D227" s="122">
        <v>1027</v>
      </c>
      <c r="E227" s="123" t="s">
        <v>510</v>
      </c>
      <c r="F227" s="249" t="s">
        <v>511</v>
      </c>
      <c r="G227" s="486" t="s">
        <v>525</v>
      </c>
      <c r="H227" s="120" t="s">
        <v>526</v>
      </c>
      <c r="K227" s="501"/>
      <c r="L227" s="124">
        <v>19.25</v>
      </c>
      <c r="M227" s="124">
        <v>20.21</v>
      </c>
      <c r="N227" s="374"/>
      <c r="O227" s="219" t="s">
        <v>41</v>
      </c>
      <c r="P227" s="125">
        <f t="shared" si="26"/>
        <v>0.96000000000000085</v>
      </c>
      <c r="Q227" s="126">
        <f t="shared" si="22"/>
        <v>4.9870129870129912E-2</v>
      </c>
      <c r="R227" s="126"/>
      <c r="S227" s="126"/>
      <c r="T227" s="126"/>
      <c r="U227" s="396" t="s">
        <v>27</v>
      </c>
      <c r="V227" s="188"/>
      <c r="W227" s="449"/>
      <c r="X227" s="514"/>
    </row>
    <row r="228" spans="1:24">
      <c r="A228" s="120" t="s">
        <v>527</v>
      </c>
      <c r="B228" s="121">
        <v>20</v>
      </c>
      <c r="C228" s="120" t="s">
        <v>67</v>
      </c>
      <c r="D228" s="122">
        <v>1027</v>
      </c>
      <c r="E228" s="123" t="s">
        <v>510</v>
      </c>
      <c r="F228" s="249" t="s">
        <v>511</v>
      </c>
      <c r="G228" s="486" t="s">
        <v>528</v>
      </c>
      <c r="H228" s="120" t="s">
        <v>529</v>
      </c>
      <c r="K228" s="501"/>
      <c r="L228" s="124">
        <v>17.100000000000001</v>
      </c>
      <c r="M228" s="124">
        <v>19.32</v>
      </c>
      <c r="N228" s="374"/>
      <c r="O228" s="219" t="s">
        <v>41</v>
      </c>
      <c r="P228" s="125">
        <f t="shared" si="26"/>
        <v>2.2199999999999989</v>
      </c>
      <c r="Q228" s="126">
        <f t="shared" si="22"/>
        <v>0.1298245614035087</v>
      </c>
      <c r="R228" s="126"/>
      <c r="S228" s="126"/>
      <c r="T228" s="126"/>
      <c r="U228" s="396" t="s">
        <v>27</v>
      </c>
      <c r="V228" s="188"/>
      <c r="W228" s="449"/>
      <c r="X228" s="514"/>
    </row>
    <row r="229" spans="1:24">
      <c r="A229" s="120" t="s">
        <v>530</v>
      </c>
      <c r="B229" s="121">
        <v>20</v>
      </c>
      <c r="C229" s="120" t="s">
        <v>67</v>
      </c>
      <c r="D229" s="122">
        <v>1027</v>
      </c>
      <c r="E229" s="123" t="s">
        <v>510</v>
      </c>
      <c r="F229" s="249" t="s">
        <v>511</v>
      </c>
      <c r="G229" s="486" t="s">
        <v>531</v>
      </c>
      <c r="H229" s="120" t="s">
        <v>532</v>
      </c>
      <c r="K229" s="501"/>
      <c r="L229" s="124">
        <v>11</v>
      </c>
      <c r="M229" s="124">
        <v>11.99</v>
      </c>
      <c r="N229" s="374"/>
      <c r="O229" s="219" t="s">
        <v>41</v>
      </c>
      <c r="P229" s="125">
        <f t="shared" si="26"/>
        <v>0.99000000000000021</v>
      </c>
      <c r="Q229" s="126">
        <f t="shared" si="22"/>
        <v>9.0000000000000024E-2</v>
      </c>
      <c r="R229" s="126"/>
      <c r="S229" s="126"/>
      <c r="T229" s="126"/>
      <c r="U229" s="396" t="s">
        <v>27</v>
      </c>
      <c r="V229" s="188"/>
      <c r="W229" s="449"/>
      <c r="X229" s="514"/>
    </row>
    <row r="230" spans="1:24">
      <c r="A230" s="120" t="s">
        <v>533</v>
      </c>
      <c r="B230" s="121">
        <v>50</v>
      </c>
      <c r="C230" s="120" t="s">
        <v>20</v>
      </c>
      <c r="D230" s="122">
        <v>1027</v>
      </c>
      <c r="E230" s="123" t="s">
        <v>510</v>
      </c>
      <c r="F230" s="249" t="s">
        <v>511</v>
      </c>
      <c r="G230" s="486" t="s">
        <v>534</v>
      </c>
      <c r="H230" s="120"/>
      <c r="K230" s="501"/>
      <c r="L230" s="124">
        <v>12.05</v>
      </c>
      <c r="M230" s="124">
        <v>12.89</v>
      </c>
      <c r="N230" s="374"/>
      <c r="O230" s="219" t="s">
        <v>41</v>
      </c>
      <c r="P230" s="125">
        <f t="shared" si="26"/>
        <v>0.83999999999999986</v>
      </c>
      <c r="Q230" s="126">
        <f t="shared" si="22"/>
        <v>6.9709543568464719E-2</v>
      </c>
      <c r="R230" s="126"/>
      <c r="S230" s="126"/>
      <c r="T230" s="126"/>
      <c r="U230" s="396" t="s">
        <v>27</v>
      </c>
      <c r="V230" s="188"/>
      <c r="W230" s="449"/>
      <c r="X230" s="514"/>
    </row>
    <row r="231" spans="1:24">
      <c r="A231" s="120" t="s">
        <v>535</v>
      </c>
      <c r="B231" s="121">
        <v>50</v>
      </c>
      <c r="C231" s="120" t="s">
        <v>20</v>
      </c>
      <c r="D231" s="122">
        <v>1027</v>
      </c>
      <c r="E231" s="123" t="s">
        <v>510</v>
      </c>
      <c r="F231" s="249" t="s">
        <v>511</v>
      </c>
      <c r="G231" s="486" t="s">
        <v>536</v>
      </c>
      <c r="H231" s="120"/>
      <c r="K231" s="501"/>
      <c r="L231" s="124">
        <v>16.91</v>
      </c>
      <c r="M231" s="124">
        <v>18.09</v>
      </c>
      <c r="N231" s="374"/>
      <c r="O231" s="219" t="s">
        <v>41</v>
      </c>
      <c r="P231" s="125">
        <f t="shared" si="26"/>
        <v>1.1799999999999997</v>
      </c>
      <c r="Q231" s="126">
        <f t="shared" si="22"/>
        <v>6.9781194559432269E-2</v>
      </c>
      <c r="R231" s="126"/>
      <c r="S231" s="126"/>
      <c r="T231" s="126"/>
      <c r="U231" s="396" t="s">
        <v>27</v>
      </c>
      <c r="V231" s="188"/>
      <c r="W231" s="449"/>
      <c r="X231" s="514"/>
    </row>
    <row r="232" spans="1:24">
      <c r="A232" s="120" t="s">
        <v>537</v>
      </c>
      <c r="B232" s="121">
        <v>50</v>
      </c>
      <c r="C232" s="120" t="s">
        <v>20</v>
      </c>
      <c r="D232" s="122">
        <v>1027</v>
      </c>
      <c r="E232" s="123" t="s">
        <v>510</v>
      </c>
      <c r="F232" s="249" t="s">
        <v>511</v>
      </c>
      <c r="G232" s="486" t="s">
        <v>538</v>
      </c>
      <c r="H232" s="120"/>
      <c r="K232" s="501"/>
      <c r="L232" s="124">
        <v>14.2</v>
      </c>
      <c r="M232" s="124">
        <v>15.19</v>
      </c>
      <c r="N232" s="374"/>
      <c r="O232" s="219" t="s">
        <v>41</v>
      </c>
      <c r="P232" s="125">
        <f t="shared" si="26"/>
        <v>0.99000000000000021</v>
      </c>
      <c r="Q232" s="126">
        <f t="shared" si="22"/>
        <v>6.9718309859154948E-2</v>
      </c>
      <c r="R232" s="126"/>
      <c r="S232" s="126"/>
      <c r="T232" s="126"/>
      <c r="U232" s="396" t="s">
        <v>27</v>
      </c>
      <c r="V232" s="188"/>
      <c r="W232" s="449"/>
      <c r="X232" s="514"/>
    </row>
    <row r="233" spans="1:24">
      <c r="A233" s="120" t="s">
        <v>539</v>
      </c>
      <c r="B233" s="121">
        <v>50</v>
      </c>
      <c r="C233" s="120" t="s">
        <v>20</v>
      </c>
      <c r="D233" s="122">
        <v>1027</v>
      </c>
      <c r="E233" s="123" t="s">
        <v>510</v>
      </c>
      <c r="F233" s="249" t="s">
        <v>511</v>
      </c>
      <c r="G233" s="486" t="s">
        <v>540</v>
      </c>
      <c r="H233" s="120"/>
      <c r="K233" s="501"/>
      <c r="L233" s="124">
        <v>15.69</v>
      </c>
      <c r="M233" s="124">
        <v>16.78</v>
      </c>
      <c r="N233" s="374"/>
      <c r="O233" s="219" t="s">
        <v>41</v>
      </c>
      <c r="P233" s="125">
        <f t="shared" si="26"/>
        <v>1.0900000000000016</v>
      </c>
      <c r="Q233" s="126">
        <f t="shared" si="22"/>
        <v>6.9471000637348734E-2</v>
      </c>
      <c r="R233" s="126"/>
      <c r="S233" s="126"/>
      <c r="T233" s="126"/>
      <c r="U233" s="396" t="s">
        <v>27</v>
      </c>
      <c r="V233" s="188"/>
      <c r="W233" s="449"/>
      <c r="X233" s="514"/>
    </row>
    <row r="234" spans="1:24">
      <c r="A234" s="120" t="s">
        <v>541</v>
      </c>
      <c r="B234" s="121">
        <v>50</v>
      </c>
      <c r="C234" s="120" t="s">
        <v>30</v>
      </c>
      <c r="D234" s="122">
        <v>1027</v>
      </c>
      <c r="E234" s="123" t="s">
        <v>510</v>
      </c>
      <c r="F234" s="249" t="s">
        <v>511</v>
      </c>
      <c r="G234" s="486" t="s">
        <v>542</v>
      </c>
      <c r="H234" s="120"/>
      <c r="K234" s="501"/>
      <c r="L234" s="124">
        <v>14.85</v>
      </c>
      <c r="M234" s="124">
        <v>16.190000000000001</v>
      </c>
      <c r="N234" s="374"/>
      <c r="O234" s="219" t="s">
        <v>41</v>
      </c>
      <c r="P234" s="125">
        <f t="shared" si="26"/>
        <v>1.3400000000000016</v>
      </c>
      <c r="Q234" s="126">
        <f t="shared" si="22"/>
        <v>9.023569023569035E-2</v>
      </c>
      <c r="U234" s="396" t="s">
        <v>27</v>
      </c>
      <c r="V234" s="188"/>
      <c r="W234" s="449"/>
      <c r="X234" s="514"/>
    </row>
    <row r="235" spans="1:24">
      <c r="A235" s="133" t="s">
        <v>543</v>
      </c>
      <c r="B235" s="134">
        <v>30</v>
      </c>
      <c r="C235" s="133" t="s">
        <v>203</v>
      </c>
      <c r="D235" s="135">
        <v>1028</v>
      </c>
      <c r="E235" s="136" t="s">
        <v>544</v>
      </c>
      <c r="F235" s="250" t="s">
        <v>443</v>
      </c>
      <c r="G235" s="487" t="s">
        <v>494</v>
      </c>
      <c r="H235" s="133"/>
      <c r="K235" s="501"/>
      <c r="L235" s="132">
        <v>15.6</v>
      </c>
      <c r="M235" s="132">
        <v>17.55</v>
      </c>
      <c r="N235" s="376"/>
      <c r="O235" s="220" t="s">
        <v>230</v>
      </c>
      <c r="P235" s="130">
        <f>M235-L235+W235-V235</f>
        <v>1.1000000000000012</v>
      </c>
      <c r="Q235" s="131">
        <f t="shared" si="22"/>
        <v>7.0512820512820595E-2</v>
      </c>
      <c r="R235" s="131"/>
      <c r="S235" s="131"/>
      <c r="T235" s="131"/>
      <c r="U235" s="397" t="s">
        <v>444</v>
      </c>
      <c r="V235" s="190">
        <v>0.95</v>
      </c>
      <c r="W235" s="450">
        <v>0.1</v>
      </c>
      <c r="X235" s="514"/>
    </row>
    <row r="236" spans="1:24">
      <c r="A236" s="133" t="s">
        <v>545</v>
      </c>
      <c r="B236" s="134">
        <v>20</v>
      </c>
      <c r="C236" s="133" t="s">
        <v>67</v>
      </c>
      <c r="D236" s="135">
        <v>1028</v>
      </c>
      <c r="E236" s="136" t="s">
        <v>544</v>
      </c>
      <c r="F236" s="250" t="s">
        <v>443</v>
      </c>
      <c r="G236" s="487" t="s">
        <v>161</v>
      </c>
      <c r="H236" s="133" t="s">
        <v>92</v>
      </c>
      <c r="K236" s="501"/>
      <c r="L236" s="132">
        <v>11</v>
      </c>
      <c r="M236" s="132">
        <v>13.6</v>
      </c>
      <c r="N236" s="376"/>
      <c r="O236" s="220" t="s">
        <v>230</v>
      </c>
      <c r="P236" s="130">
        <f>M236-L236+W236-V236</f>
        <v>1.6499999999999997</v>
      </c>
      <c r="Q236" s="131">
        <f t="shared" si="22"/>
        <v>0.14999999999999997</v>
      </c>
      <c r="R236" s="131"/>
      <c r="S236" s="131"/>
      <c r="T236" s="131"/>
      <c r="U236" s="397" t="s">
        <v>444</v>
      </c>
      <c r="V236" s="190">
        <v>0.95</v>
      </c>
      <c r="W236" s="456"/>
      <c r="X236" s="514"/>
    </row>
    <row r="237" spans="1:24">
      <c r="A237" s="133" t="s">
        <v>546</v>
      </c>
      <c r="B237" s="134">
        <v>20</v>
      </c>
      <c r="C237" s="133" t="s">
        <v>67</v>
      </c>
      <c r="D237" s="135">
        <v>1028</v>
      </c>
      <c r="E237" s="136" t="s">
        <v>544</v>
      </c>
      <c r="F237" s="250" t="s">
        <v>443</v>
      </c>
      <c r="G237" s="487" t="s">
        <v>234</v>
      </c>
      <c r="H237" s="133" t="s">
        <v>92</v>
      </c>
      <c r="K237" s="501"/>
      <c r="L237" s="132">
        <v>13.55</v>
      </c>
      <c r="M237" s="132">
        <v>16.43</v>
      </c>
      <c r="N237" s="376"/>
      <c r="O237" s="220" t="s">
        <v>230</v>
      </c>
      <c r="P237" s="130">
        <f>M237-L237+W237-V237</f>
        <v>1.929999999999999</v>
      </c>
      <c r="Q237" s="131">
        <f t="shared" si="22"/>
        <v>0.14243542435424347</v>
      </c>
      <c r="R237" s="131"/>
      <c r="S237" s="131"/>
      <c r="T237" s="131"/>
      <c r="U237" s="397" t="s">
        <v>444</v>
      </c>
      <c r="V237" s="190">
        <v>0.95</v>
      </c>
      <c r="W237" s="456"/>
      <c r="X237" s="514"/>
    </row>
    <row r="238" spans="1:24" ht="15.4" customHeight="1">
      <c r="A238" s="133" t="s">
        <v>547</v>
      </c>
      <c r="B238" s="134">
        <v>30</v>
      </c>
      <c r="C238" s="133" t="s">
        <v>203</v>
      </c>
      <c r="D238" s="135">
        <v>1028</v>
      </c>
      <c r="E238" s="136" t="s">
        <v>544</v>
      </c>
      <c r="F238" s="250" t="s">
        <v>443</v>
      </c>
      <c r="G238" s="487" t="s">
        <v>114</v>
      </c>
      <c r="H238" s="133"/>
      <c r="K238" s="501"/>
      <c r="L238" s="132">
        <v>9.9</v>
      </c>
      <c r="M238" s="132">
        <v>12.27</v>
      </c>
      <c r="N238" s="376"/>
      <c r="O238" s="220" t="s">
        <v>230</v>
      </c>
      <c r="P238" s="130">
        <f>M238-L238+W238-V238</f>
        <v>1.4199999999999993</v>
      </c>
      <c r="Q238" s="131">
        <f t="shared" si="22"/>
        <v>0.14343434343434336</v>
      </c>
      <c r="R238" s="131"/>
      <c r="S238" s="131"/>
      <c r="T238" s="131"/>
      <c r="U238" s="397" t="s">
        <v>444</v>
      </c>
      <c r="V238" s="190">
        <v>0.95</v>
      </c>
      <c r="W238" s="456"/>
      <c r="X238" s="514"/>
    </row>
    <row r="239" spans="1:24">
      <c r="A239" s="154" t="s">
        <v>548</v>
      </c>
      <c r="B239" s="155">
        <v>50</v>
      </c>
      <c r="C239" s="154" t="s">
        <v>20</v>
      </c>
      <c r="D239" s="156">
        <v>1036</v>
      </c>
      <c r="E239" s="157" t="s">
        <v>549</v>
      </c>
      <c r="F239" s="251" t="s">
        <v>550</v>
      </c>
      <c r="G239" s="488" t="s">
        <v>551</v>
      </c>
      <c r="H239" s="154"/>
      <c r="K239" s="501"/>
      <c r="L239" s="158">
        <v>10.14</v>
      </c>
      <c r="M239" s="158">
        <v>10.98</v>
      </c>
      <c r="N239" s="377"/>
      <c r="O239" s="155" t="s">
        <v>230</v>
      </c>
      <c r="P239" s="158">
        <f t="shared" ref="P239" si="27">M239-L239</f>
        <v>0.83999999999999986</v>
      </c>
      <c r="Q239" s="282">
        <f t="shared" si="22"/>
        <v>8.2840236686390512E-2</v>
      </c>
      <c r="R239" s="159"/>
      <c r="S239" s="159"/>
      <c r="T239" s="159"/>
      <c r="U239" s="398" t="s">
        <v>27</v>
      </c>
      <c r="V239" s="189"/>
      <c r="W239" s="457"/>
      <c r="X239" s="514"/>
    </row>
    <row r="240" spans="1:24" ht="15" customHeight="1">
      <c r="A240" s="169" t="s">
        <v>552</v>
      </c>
      <c r="B240" s="33">
        <v>20</v>
      </c>
      <c r="C240" s="32" t="s">
        <v>67</v>
      </c>
      <c r="D240" s="170">
        <v>1029</v>
      </c>
      <c r="E240" s="171" t="s">
        <v>553</v>
      </c>
      <c r="F240" s="230" t="s">
        <v>554</v>
      </c>
      <c r="G240" s="230" t="s">
        <v>122</v>
      </c>
      <c r="H240" s="32" t="s">
        <v>92</v>
      </c>
      <c r="K240" s="501"/>
      <c r="L240" s="172">
        <v>15.15</v>
      </c>
      <c r="M240" s="172">
        <v>17.920000000000002</v>
      </c>
      <c r="N240" s="378"/>
      <c r="O240" s="33" t="s">
        <v>41</v>
      </c>
      <c r="P240" s="172">
        <f t="shared" ref="P240:P255" si="28">M240-L240+W240-V240</f>
        <v>2.370000000000001</v>
      </c>
      <c r="Q240" s="173">
        <f t="shared" si="22"/>
        <v>0.15643564356435649</v>
      </c>
      <c r="R240" s="173"/>
      <c r="S240" s="173"/>
      <c r="T240" s="173"/>
      <c r="U240" s="399" t="s">
        <v>555</v>
      </c>
      <c r="V240" s="192">
        <v>0.8</v>
      </c>
      <c r="W240" s="388">
        <v>0.4</v>
      </c>
      <c r="X240" s="514"/>
    </row>
    <row r="241" spans="1:24" ht="15" customHeight="1">
      <c r="A241" s="32" t="s">
        <v>556</v>
      </c>
      <c r="B241" s="33">
        <v>20</v>
      </c>
      <c r="C241" s="32" t="s">
        <v>67</v>
      </c>
      <c r="D241" s="170">
        <v>1029</v>
      </c>
      <c r="E241" s="171" t="s">
        <v>553</v>
      </c>
      <c r="F241" s="230" t="s">
        <v>554</v>
      </c>
      <c r="G241" s="230" t="s">
        <v>557</v>
      </c>
      <c r="H241" s="32" t="s">
        <v>92</v>
      </c>
      <c r="K241" s="501"/>
      <c r="L241" s="172">
        <v>13.3</v>
      </c>
      <c r="M241" s="172">
        <v>16.46</v>
      </c>
      <c r="N241" s="378"/>
      <c r="O241" s="33" t="s">
        <v>41</v>
      </c>
      <c r="P241" s="172">
        <f t="shared" si="28"/>
        <v>2.76</v>
      </c>
      <c r="Q241" s="173">
        <f t="shared" si="22"/>
        <v>0.20751879699248119</v>
      </c>
      <c r="R241" s="173"/>
      <c r="S241" s="173"/>
      <c r="T241" s="173"/>
      <c r="U241" s="399" t="s">
        <v>555</v>
      </c>
      <c r="V241" s="192">
        <v>0.8</v>
      </c>
      <c r="W241" s="388">
        <v>0.4</v>
      </c>
      <c r="X241" s="514"/>
    </row>
    <row r="242" spans="1:24">
      <c r="A242" s="32" t="s">
        <v>558</v>
      </c>
      <c r="B242" s="33">
        <v>20</v>
      </c>
      <c r="C242" s="32" t="s">
        <v>67</v>
      </c>
      <c r="D242" s="170">
        <v>1029</v>
      </c>
      <c r="E242" s="171" t="s">
        <v>553</v>
      </c>
      <c r="F242" s="230" t="s">
        <v>554</v>
      </c>
      <c r="G242" s="230" t="s">
        <v>467</v>
      </c>
      <c r="H242" s="32" t="s">
        <v>69</v>
      </c>
      <c r="K242" s="501"/>
      <c r="L242" s="172">
        <v>12.4</v>
      </c>
      <c r="M242" s="172">
        <v>15.78</v>
      </c>
      <c r="N242" s="378"/>
      <c r="O242" s="33" t="s">
        <v>41</v>
      </c>
      <c r="P242" s="172">
        <f t="shared" si="28"/>
        <v>2.5799999999999992</v>
      </c>
      <c r="Q242" s="173">
        <f t="shared" si="22"/>
        <v>0.20806451612903218</v>
      </c>
      <c r="R242" s="173"/>
      <c r="S242" s="173"/>
      <c r="T242" s="173"/>
      <c r="U242" s="399" t="s">
        <v>555</v>
      </c>
      <c r="V242" s="192">
        <v>0.8</v>
      </c>
      <c r="W242" s="388"/>
      <c r="X242" s="514"/>
    </row>
    <row r="243" spans="1:24">
      <c r="A243" s="32" t="s">
        <v>559</v>
      </c>
      <c r="B243" s="33">
        <v>20</v>
      </c>
      <c r="C243" s="32" t="s">
        <v>67</v>
      </c>
      <c r="D243" s="170">
        <v>1029</v>
      </c>
      <c r="E243" s="171" t="s">
        <v>553</v>
      </c>
      <c r="F243" s="230" t="s">
        <v>554</v>
      </c>
      <c r="G243" s="230" t="s">
        <v>560</v>
      </c>
      <c r="H243" s="32" t="s">
        <v>69</v>
      </c>
      <c r="K243" s="501"/>
      <c r="L243" s="172">
        <v>10.85</v>
      </c>
      <c r="M243" s="172">
        <v>13.92</v>
      </c>
      <c r="N243" s="378"/>
      <c r="O243" s="33" t="s">
        <v>41</v>
      </c>
      <c r="P243" s="172">
        <f t="shared" si="28"/>
        <v>2.2700000000000005</v>
      </c>
      <c r="Q243" s="173">
        <f t="shared" si="22"/>
        <v>0.20921658986175121</v>
      </c>
      <c r="R243" s="173"/>
      <c r="S243" s="173"/>
      <c r="T243" s="173"/>
      <c r="U243" s="399" t="s">
        <v>555</v>
      </c>
      <c r="V243" s="192">
        <v>0.8</v>
      </c>
      <c r="W243" s="388"/>
      <c r="X243" s="514"/>
    </row>
    <row r="244" spans="1:24">
      <c r="A244" s="32" t="s">
        <v>561</v>
      </c>
      <c r="B244" s="33">
        <v>20</v>
      </c>
      <c r="C244" s="32" t="s">
        <v>67</v>
      </c>
      <c r="D244" s="170">
        <v>1029</v>
      </c>
      <c r="E244" s="171" t="s">
        <v>553</v>
      </c>
      <c r="F244" s="230" t="s">
        <v>554</v>
      </c>
      <c r="G244" s="230" t="s">
        <v>465</v>
      </c>
      <c r="H244" s="32" t="s">
        <v>69</v>
      </c>
      <c r="K244" s="501"/>
      <c r="L244" s="172">
        <v>13.65</v>
      </c>
      <c r="M244" s="172">
        <v>16.600000000000001</v>
      </c>
      <c r="N244" s="378"/>
      <c r="O244" s="33" t="s">
        <v>41</v>
      </c>
      <c r="P244" s="172">
        <f t="shared" si="28"/>
        <v>2.1500000000000012</v>
      </c>
      <c r="Q244" s="173">
        <f t="shared" si="22"/>
        <v>0.15750915750915759</v>
      </c>
      <c r="R244" s="173"/>
      <c r="S244" s="173"/>
      <c r="T244" s="173"/>
      <c r="U244" s="399" t="s">
        <v>555</v>
      </c>
      <c r="V244" s="192">
        <v>0.8</v>
      </c>
      <c r="W244" s="388"/>
      <c r="X244" s="514"/>
    </row>
    <row r="245" spans="1:24">
      <c r="A245" s="32" t="s">
        <v>562</v>
      </c>
      <c r="B245" s="33">
        <v>20</v>
      </c>
      <c r="C245" s="32" t="s">
        <v>67</v>
      </c>
      <c r="D245" s="170">
        <v>1029</v>
      </c>
      <c r="E245" s="171" t="s">
        <v>553</v>
      </c>
      <c r="F245" s="230" t="s">
        <v>554</v>
      </c>
      <c r="G245" s="230" t="s">
        <v>155</v>
      </c>
      <c r="H245" s="32" t="s">
        <v>69</v>
      </c>
      <c r="K245" s="501"/>
      <c r="L245" s="172">
        <v>12.8</v>
      </c>
      <c r="M245" s="172">
        <v>16.260000000000002</v>
      </c>
      <c r="N245" s="378"/>
      <c r="O245" s="33" t="s">
        <v>41</v>
      </c>
      <c r="P245" s="172">
        <f t="shared" si="28"/>
        <v>2.660000000000001</v>
      </c>
      <c r="Q245" s="173">
        <f t="shared" si="22"/>
        <v>0.20781250000000007</v>
      </c>
      <c r="R245" s="173"/>
      <c r="S245" s="173"/>
      <c r="T245" s="173"/>
      <c r="U245" s="399" t="s">
        <v>555</v>
      </c>
      <c r="V245" s="192">
        <v>0.8</v>
      </c>
      <c r="W245" s="388"/>
      <c r="X245" s="514"/>
    </row>
    <row r="246" spans="1:24">
      <c r="A246" s="32" t="s">
        <v>563</v>
      </c>
      <c r="B246" s="33">
        <v>20</v>
      </c>
      <c r="C246" s="32" t="s">
        <v>67</v>
      </c>
      <c r="D246" s="170">
        <v>1029</v>
      </c>
      <c r="E246" s="171" t="s">
        <v>553</v>
      </c>
      <c r="F246" s="230" t="s">
        <v>554</v>
      </c>
      <c r="G246" s="230" t="s">
        <v>224</v>
      </c>
      <c r="H246" s="32" t="s">
        <v>358</v>
      </c>
      <c r="K246" s="501"/>
      <c r="L246" s="172">
        <v>14.15</v>
      </c>
      <c r="M246" s="172">
        <v>17.88</v>
      </c>
      <c r="N246" s="378"/>
      <c r="O246" s="33" t="s">
        <v>41</v>
      </c>
      <c r="P246" s="172">
        <f t="shared" si="28"/>
        <v>2.9299999999999988</v>
      </c>
      <c r="Q246" s="173">
        <f t="shared" si="22"/>
        <v>0.2070671378091872</v>
      </c>
      <c r="R246" s="173"/>
      <c r="S246" s="173"/>
      <c r="T246" s="173"/>
      <c r="U246" s="399" t="s">
        <v>555</v>
      </c>
      <c r="V246" s="192">
        <v>0.8</v>
      </c>
      <c r="W246" s="388"/>
      <c r="X246" s="514"/>
    </row>
    <row r="247" spans="1:24">
      <c r="A247" s="32" t="s">
        <v>564</v>
      </c>
      <c r="B247" s="33">
        <v>80</v>
      </c>
      <c r="C247" s="32" t="s">
        <v>30</v>
      </c>
      <c r="D247" s="170">
        <v>1029</v>
      </c>
      <c r="E247" s="171" t="s">
        <v>553</v>
      </c>
      <c r="F247" s="230" t="s">
        <v>554</v>
      </c>
      <c r="G247" s="230" t="s">
        <v>565</v>
      </c>
      <c r="H247" s="32" t="s">
        <v>566</v>
      </c>
      <c r="K247" s="501"/>
      <c r="L247" s="172">
        <v>13.7</v>
      </c>
      <c r="M247" s="172">
        <v>16.66</v>
      </c>
      <c r="N247" s="378"/>
      <c r="O247" s="33" t="s">
        <v>41</v>
      </c>
      <c r="P247" s="172">
        <f t="shared" si="28"/>
        <v>2.160000000000001</v>
      </c>
      <c r="Q247" s="173">
        <f t="shared" si="22"/>
        <v>0.15766423357664242</v>
      </c>
      <c r="R247" s="173"/>
      <c r="S247" s="173"/>
      <c r="T247" s="173"/>
      <c r="U247" s="399" t="s">
        <v>555</v>
      </c>
      <c r="V247" s="192">
        <v>0.9</v>
      </c>
      <c r="W247" s="388">
        <v>0.1</v>
      </c>
      <c r="X247" s="514"/>
    </row>
    <row r="248" spans="1:24">
      <c r="A248" s="32" t="s">
        <v>567</v>
      </c>
      <c r="B248" s="33">
        <v>80</v>
      </c>
      <c r="C248" s="32" t="s">
        <v>30</v>
      </c>
      <c r="D248" s="170">
        <v>1029</v>
      </c>
      <c r="E248" s="171" t="s">
        <v>553</v>
      </c>
      <c r="F248" s="230" t="s">
        <v>554</v>
      </c>
      <c r="G248" s="230" t="s">
        <v>568</v>
      </c>
      <c r="H248" s="32" t="s">
        <v>566</v>
      </c>
      <c r="K248" s="510"/>
      <c r="L248" s="199">
        <v>14.7</v>
      </c>
      <c r="M248" s="199">
        <v>17.809999999999999</v>
      </c>
      <c r="N248" s="379"/>
      <c r="O248" s="221" t="s">
        <v>41</v>
      </c>
      <c r="P248" s="172">
        <f t="shared" si="28"/>
        <v>2.3099999999999996</v>
      </c>
      <c r="Q248" s="173">
        <f t="shared" si="22"/>
        <v>0.15714285714285711</v>
      </c>
      <c r="R248" s="173"/>
      <c r="S248" s="173"/>
      <c r="T248" s="173"/>
      <c r="U248" s="399" t="s">
        <v>555</v>
      </c>
      <c r="V248" s="192">
        <v>0.9</v>
      </c>
      <c r="W248" s="388">
        <v>0.1</v>
      </c>
      <c r="X248" s="514"/>
    </row>
    <row r="249" spans="1:24">
      <c r="A249" s="32" t="s">
        <v>569</v>
      </c>
      <c r="B249" s="33">
        <v>80</v>
      </c>
      <c r="C249" s="32" t="s">
        <v>30</v>
      </c>
      <c r="D249" s="170">
        <v>1029</v>
      </c>
      <c r="E249" s="171" t="s">
        <v>553</v>
      </c>
      <c r="F249" s="230" t="s">
        <v>554</v>
      </c>
      <c r="G249" s="230" t="s">
        <v>570</v>
      </c>
      <c r="H249" s="32" t="s">
        <v>566</v>
      </c>
      <c r="K249" s="501"/>
      <c r="L249" s="172">
        <v>15.25</v>
      </c>
      <c r="M249" s="172">
        <v>18.440000000000001</v>
      </c>
      <c r="N249" s="378"/>
      <c r="O249" s="33" t="s">
        <v>41</v>
      </c>
      <c r="P249" s="200">
        <f t="shared" si="28"/>
        <v>2.3900000000000015</v>
      </c>
      <c r="Q249" s="173">
        <f t="shared" si="22"/>
        <v>0.15672131147540994</v>
      </c>
      <c r="R249" s="173"/>
      <c r="S249" s="173"/>
      <c r="T249" s="173"/>
      <c r="U249" s="399" t="s">
        <v>555</v>
      </c>
      <c r="V249" s="192">
        <v>0.9</v>
      </c>
      <c r="W249" s="388">
        <v>0.1</v>
      </c>
      <c r="X249" s="514"/>
    </row>
    <row r="250" spans="1:24">
      <c r="A250" s="269" t="s">
        <v>571</v>
      </c>
      <c r="B250" s="271">
        <v>20</v>
      </c>
      <c r="C250" s="269" t="s">
        <v>67</v>
      </c>
      <c r="D250" s="272">
        <v>1039</v>
      </c>
      <c r="E250" s="273" t="s">
        <v>572</v>
      </c>
      <c r="F250" s="269" t="s">
        <v>573</v>
      </c>
      <c r="G250" s="489" t="s">
        <v>574</v>
      </c>
      <c r="H250" s="269"/>
      <c r="K250" s="501"/>
      <c r="L250" s="274">
        <v>13.55</v>
      </c>
      <c r="M250" s="270">
        <v>15.705000000000002</v>
      </c>
      <c r="N250" s="380"/>
      <c r="O250" s="271" t="s">
        <v>41</v>
      </c>
      <c r="P250" s="276">
        <f t="shared" si="28"/>
        <v>1.6550000000000011</v>
      </c>
      <c r="Q250" s="275">
        <f t="shared" si="22"/>
        <v>0.1221402214022141</v>
      </c>
      <c r="R250" s="275"/>
      <c r="S250" s="275"/>
      <c r="T250" s="275"/>
      <c r="U250" s="400" t="s">
        <v>575</v>
      </c>
      <c r="V250" s="277">
        <v>0.5</v>
      </c>
      <c r="W250" s="458"/>
      <c r="X250" s="514"/>
    </row>
    <row r="251" spans="1:24">
      <c r="A251" s="269" t="s">
        <v>576</v>
      </c>
      <c r="B251" s="271">
        <v>20</v>
      </c>
      <c r="C251" s="269" t="s">
        <v>67</v>
      </c>
      <c r="D251" s="272">
        <v>1039</v>
      </c>
      <c r="E251" s="273" t="s">
        <v>572</v>
      </c>
      <c r="F251" s="269" t="s">
        <v>573</v>
      </c>
      <c r="G251" s="489" t="s">
        <v>577</v>
      </c>
      <c r="H251" s="269"/>
      <c r="K251" s="501"/>
      <c r="L251" s="274">
        <v>13.65</v>
      </c>
      <c r="M251" s="270">
        <v>15.815000000000001</v>
      </c>
      <c r="N251" s="381"/>
      <c r="O251" s="271" t="s">
        <v>41</v>
      </c>
      <c r="P251" s="276">
        <f t="shared" si="28"/>
        <v>1.6650000000000009</v>
      </c>
      <c r="Q251" s="275">
        <f t="shared" si="22"/>
        <v>0.12197802197802204</v>
      </c>
      <c r="R251" s="275"/>
      <c r="S251" s="275"/>
      <c r="T251" s="275"/>
      <c r="U251" s="400" t="s">
        <v>575</v>
      </c>
      <c r="V251" s="277">
        <v>0.5</v>
      </c>
      <c r="W251" s="458"/>
      <c r="X251" s="514"/>
    </row>
    <row r="252" spans="1:24">
      <c r="A252" s="269" t="s">
        <v>578</v>
      </c>
      <c r="B252" s="271">
        <v>20</v>
      </c>
      <c r="C252" s="269" t="s">
        <v>67</v>
      </c>
      <c r="D252" s="272">
        <v>1039</v>
      </c>
      <c r="E252" s="273" t="s">
        <v>572</v>
      </c>
      <c r="F252" s="269" t="s">
        <v>573</v>
      </c>
      <c r="G252" s="489" t="s">
        <v>161</v>
      </c>
      <c r="H252" s="269"/>
      <c r="K252" s="501"/>
      <c r="L252" s="274">
        <v>11</v>
      </c>
      <c r="M252" s="270">
        <v>12.9</v>
      </c>
      <c r="N252" s="381"/>
      <c r="O252" s="271" t="s">
        <v>41</v>
      </c>
      <c r="P252" s="276">
        <f t="shared" si="28"/>
        <v>1.4000000000000004</v>
      </c>
      <c r="Q252" s="275">
        <f t="shared" si="22"/>
        <v>0.12727272727272732</v>
      </c>
      <c r="R252" s="275"/>
      <c r="S252" s="275"/>
      <c r="T252" s="275"/>
      <c r="U252" s="400" t="s">
        <v>575</v>
      </c>
      <c r="V252" s="277">
        <v>0.5</v>
      </c>
      <c r="W252" s="458"/>
      <c r="X252" s="514"/>
    </row>
    <row r="253" spans="1:24">
      <c r="A253" s="269" t="s">
        <v>579</v>
      </c>
      <c r="B253" s="271">
        <v>20</v>
      </c>
      <c r="C253" s="269" t="s">
        <v>67</v>
      </c>
      <c r="D253" s="272">
        <v>1039</v>
      </c>
      <c r="E253" s="273" t="s">
        <v>572</v>
      </c>
      <c r="F253" s="269" t="s">
        <v>573</v>
      </c>
      <c r="G253" s="489" t="s">
        <v>580</v>
      </c>
      <c r="H253" s="269"/>
      <c r="K253" s="508"/>
      <c r="L253" s="274">
        <v>13.55</v>
      </c>
      <c r="M253" s="270">
        <v>15.75</v>
      </c>
      <c r="N253" s="382"/>
      <c r="O253" s="271" t="s">
        <v>41</v>
      </c>
      <c r="P253" s="276">
        <f t="shared" si="28"/>
        <v>1.6999999999999993</v>
      </c>
      <c r="Q253" s="275">
        <f t="shared" si="22"/>
        <v>0.12546125461254606</v>
      </c>
      <c r="R253" s="275"/>
      <c r="S253" s="275"/>
      <c r="T253" s="275"/>
      <c r="U253" s="400" t="s">
        <v>575</v>
      </c>
      <c r="V253" s="277">
        <v>0.5</v>
      </c>
      <c r="W253" s="458"/>
      <c r="X253" s="514"/>
    </row>
    <row r="254" spans="1:24">
      <c r="A254" s="269"/>
      <c r="B254" s="271"/>
      <c r="C254" s="269" t="s">
        <v>67</v>
      </c>
      <c r="D254" s="272">
        <v>1040</v>
      </c>
      <c r="E254" s="273" t="s">
        <v>572</v>
      </c>
      <c r="F254" s="269" t="s">
        <v>573</v>
      </c>
      <c r="G254" s="489" t="s">
        <v>167</v>
      </c>
      <c r="H254" s="269"/>
      <c r="K254" s="508"/>
      <c r="L254" s="274">
        <v>13</v>
      </c>
      <c r="M254" s="270">
        <v>13.9</v>
      </c>
      <c r="N254" s="382"/>
      <c r="O254" s="271" t="s">
        <v>41</v>
      </c>
      <c r="P254" s="276">
        <f t="shared" si="28"/>
        <v>0.40000000000000036</v>
      </c>
      <c r="Q254" s="275">
        <f t="shared" si="22"/>
        <v>3.0769230769230795E-2</v>
      </c>
      <c r="R254" s="275"/>
      <c r="S254" s="275"/>
      <c r="T254" s="275"/>
      <c r="U254" s="400" t="s">
        <v>575</v>
      </c>
      <c r="V254" s="277">
        <v>0.5</v>
      </c>
      <c r="W254" s="458"/>
      <c r="X254" s="514"/>
    </row>
    <row r="255" spans="1:24">
      <c r="A255" s="269"/>
      <c r="B255" s="271">
        <v>80</v>
      </c>
      <c r="C255" s="269" t="s">
        <v>30</v>
      </c>
      <c r="D255" s="272">
        <v>1039</v>
      </c>
      <c r="E255" s="273" t="s">
        <v>572</v>
      </c>
      <c r="F255" s="269" t="s">
        <v>573</v>
      </c>
      <c r="G255" s="489" t="s">
        <v>262</v>
      </c>
      <c r="H255" s="269"/>
      <c r="K255" s="501" t="s">
        <v>581</v>
      </c>
      <c r="L255" s="274">
        <v>13.7</v>
      </c>
      <c r="M255" s="287">
        <f>15.459-0.6</f>
        <v>14.859</v>
      </c>
      <c r="N255" s="382">
        <f>L255</f>
        <v>13.7</v>
      </c>
      <c r="O255" s="271" t="s">
        <v>41</v>
      </c>
      <c r="P255" s="276">
        <f t="shared" si="28"/>
        <v>0.75900000000000079</v>
      </c>
      <c r="Q255" s="275">
        <f t="shared" si="22"/>
        <v>5.5401459854014658E-2</v>
      </c>
      <c r="R255" s="275"/>
      <c r="S255" s="275"/>
      <c r="T255" s="275"/>
      <c r="U255" s="400" t="s">
        <v>575</v>
      </c>
      <c r="V255" s="277">
        <v>0.5</v>
      </c>
      <c r="W255" s="389">
        <v>0.1</v>
      </c>
      <c r="X255" s="514"/>
    </row>
    <row r="256" spans="1:24">
      <c r="A256" s="269"/>
      <c r="B256" s="271">
        <v>80</v>
      </c>
      <c r="C256" s="269" t="s">
        <v>30</v>
      </c>
      <c r="D256" s="272">
        <v>1039</v>
      </c>
      <c r="E256" s="273" t="s">
        <v>572</v>
      </c>
      <c r="F256" s="269" t="s">
        <v>573</v>
      </c>
      <c r="G256" s="489" t="s">
        <v>582</v>
      </c>
      <c r="H256" s="269"/>
      <c r="K256" s="501" t="s">
        <v>581</v>
      </c>
      <c r="L256" s="274">
        <v>14.7</v>
      </c>
      <c r="M256" s="287">
        <f>16.529-0.6</f>
        <v>15.929</v>
      </c>
      <c r="N256" s="382">
        <f>L256*1.04</f>
        <v>15.288</v>
      </c>
      <c r="O256" s="271" t="s">
        <v>41</v>
      </c>
      <c r="P256" s="519">
        <f>M256-L256+W256-V256</f>
        <v>0.82900000000000107</v>
      </c>
      <c r="Q256" s="275">
        <f t="shared" si="22"/>
        <v>5.6394557823129327E-2</v>
      </c>
      <c r="R256" s="275"/>
      <c r="S256" s="275"/>
      <c r="T256" s="275"/>
      <c r="U256" s="400" t="s">
        <v>575</v>
      </c>
      <c r="V256" s="277">
        <v>0.5</v>
      </c>
      <c r="W256" s="389">
        <v>0.1</v>
      </c>
      <c r="X256" s="514"/>
    </row>
    <row r="257" spans="1:24">
      <c r="A257" s="269" t="s">
        <v>583</v>
      </c>
      <c r="B257" s="271">
        <v>80</v>
      </c>
      <c r="C257" s="269" t="s">
        <v>30</v>
      </c>
      <c r="D257" s="272">
        <v>1039</v>
      </c>
      <c r="E257" s="273" t="s">
        <v>572</v>
      </c>
      <c r="F257" s="269" t="s">
        <v>573</v>
      </c>
      <c r="G257" s="489" t="s">
        <v>584</v>
      </c>
      <c r="H257" s="269"/>
      <c r="K257" s="501" t="s">
        <v>581</v>
      </c>
      <c r="L257" s="274">
        <v>14</v>
      </c>
      <c r="M257" s="287">
        <f>15.673-0.6</f>
        <v>15.073</v>
      </c>
      <c r="N257" s="382"/>
      <c r="O257" s="271" t="s">
        <v>41</v>
      </c>
      <c r="P257" s="276">
        <f t="shared" ref="P257:P270" si="29">M257-L257+W257-V257</f>
        <v>0.67300000000000049</v>
      </c>
      <c r="Q257" s="275">
        <f t="shared" si="22"/>
        <v>4.8071428571428605E-2</v>
      </c>
      <c r="R257" s="275"/>
      <c r="S257" s="275"/>
      <c r="T257" s="275"/>
      <c r="U257" s="400" t="s">
        <v>575</v>
      </c>
      <c r="V257" s="277">
        <v>0.5</v>
      </c>
      <c r="W257" s="389">
        <v>0.1</v>
      </c>
      <c r="X257" s="514"/>
    </row>
    <row r="258" spans="1:24">
      <c r="A258" s="269" t="s">
        <v>585</v>
      </c>
      <c r="B258" s="271">
        <v>80</v>
      </c>
      <c r="C258" s="269" t="s">
        <v>30</v>
      </c>
      <c r="D258" s="272">
        <v>1039</v>
      </c>
      <c r="E258" s="273" t="s">
        <v>572</v>
      </c>
      <c r="F258" s="269" t="s">
        <v>573</v>
      </c>
      <c r="G258" s="489" t="s">
        <v>542</v>
      </c>
      <c r="H258" s="269"/>
      <c r="K258" s="501" t="s">
        <v>581</v>
      </c>
      <c r="L258" s="274">
        <v>15.2</v>
      </c>
      <c r="M258" s="287">
        <f>16.743-0.6</f>
        <v>16.142999999999997</v>
      </c>
      <c r="N258" s="382"/>
      <c r="O258" s="271" t="s">
        <v>41</v>
      </c>
      <c r="P258" s="276">
        <f t="shared" si="29"/>
        <v>0.54299999999999793</v>
      </c>
      <c r="Q258" s="275">
        <f t="shared" si="22"/>
        <v>3.5723684210526178E-2</v>
      </c>
      <c r="R258" s="275"/>
      <c r="S258" s="275"/>
      <c r="T258" s="275"/>
      <c r="U258" s="400" t="s">
        <v>575</v>
      </c>
      <c r="V258" s="277">
        <v>0.5</v>
      </c>
      <c r="W258" s="389">
        <v>0.1</v>
      </c>
      <c r="X258" s="514"/>
    </row>
    <row r="259" spans="1:24">
      <c r="A259" s="269"/>
      <c r="B259" s="271">
        <v>100</v>
      </c>
      <c r="C259" s="269" t="s">
        <v>113</v>
      </c>
      <c r="D259" s="272">
        <v>1039</v>
      </c>
      <c r="E259" s="273" t="s">
        <v>572</v>
      </c>
      <c r="F259" s="269" t="s">
        <v>573</v>
      </c>
      <c r="G259" s="489" t="s">
        <v>586</v>
      </c>
      <c r="H259" s="269"/>
      <c r="K259" s="501"/>
      <c r="L259" s="274">
        <v>9.65</v>
      </c>
      <c r="M259" s="270">
        <v>11.608000000000001</v>
      </c>
      <c r="N259" s="381"/>
      <c r="O259" s="271" t="s">
        <v>41</v>
      </c>
      <c r="P259" s="276">
        <f t="shared" si="29"/>
        <v>1.4580000000000002</v>
      </c>
      <c r="Q259" s="275">
        <f t="shared" si="22"/>
        <v>0.15108808290155443</v>
      </c>
      <c r="R259" s="275"/>
      <c r="S259" s="275"/>
      <c r="T259" s="275"/>
      <c r="U259" s="400" t="s">
        <v>575</v>
      </c>
      <c r="V259" s="277">
        <v>0.5</v>
      </c>
      <c r="W259" s="458"/>
      <c r="X259" s="514"/>
    </row>
    <row r="260" spans="1:24">
      <c r="A260" s="269"/>
      <c r="B260" s="271">
        <v>100</v>
      </c>
      <c r="C260" s="269" t="s">
        <v>113</v>
      </c>
      <c r="D260" s="272">
        <v>1039</v>
      </c>
      <c r="E260" s="273" t="s">
        <v>572</v>
      </c>
      <c r="F260" s="269" t="s">
        <v>573</v>
      </c>
      <c r="G260" s="489" t="s">
        <v>587</v>
      </c>
      <c r="H260" s="269"/>
      <c r="K260" s="501"/>
      <c r="L260" s="274">
        <v>8.4</v>
      </c>
      <c r="M260" s="270">
        <v>10.208000000000002</v>
      </c>
      <c r="N260" s="381"/>
      <c r="O260" s="271" t="s">
        <v>41</v>
      </c>
      <c r="P260" s="276">
        <f t="shared" si="29"/>
        <v>1.3080000000000016</v>
      </c>
      <c r="Q260" s="275">
        <f t="shared" si="22"/>
        <v>0.15571428571428589</v>
      </c>
      <c r="R260" s="275"/>
      <c r="S260" s="275"/>
      <c r="T260" s="275"/>
      <c r="U260" s="400" t="s">
        <v>575</v>
      </c>
      <c r="V260" s="277">
        <v>0.5</v>
      </c>
      <c r="W260" s="458"/>
      <c r="X260" s="514"/>
    </row>
    <row r="261" spans="1:24">
      <c r="A261" s="269" t="s">
        <v>588</v>
      </c>
      <c r="B261" s="271">
        <v>50</v>
      </c>
      <c r="C261" s="269" t="s">
        <v>20</v>
      </c>
      <c r="D261" s="272">
        <v>1039</v>
      </c>
      <c r="E261" s="273" t="s">
        <v>572</v>
      </c>
      <c r="F261" s="269" t="s">
        <v>573</v>
      </c>
      <c r="G261" s="489" t="s">
        <v>589</v>
      </c>
      <c r="H261" s="269"/>
      <c r="K261" s="501"/>
      <c r="L261" s="274">
        <v>9.6999999999999993</v>
      </c>
      <c r="M261" s="270">
        <v>11.525</v>
      </c>
      <c r="N261" s="381"/>
      <c r="O261" s="271" t="s">
        <v>41</v>
      </c>
      <c r="P261" s="276">
        <f t="shared" si="29"/>
        <v>1.3250000000000011</v>
      </c>
      <c r="Q261" s="275">
        <f t="shared" si="22"/>
        <v>0.13659793814433002</v>
      </c>
      <c r="R261" s="275"/>
      <c r="S261" s="275"/>
      <c r="T261" s="275"/>
      <c r="U261" s="400" t="s">
        <v>575</v>
      </c>
      <c r="V261" s="277">
        <v>0.5</v>
      </c>
      <c r="W261" s="458"/>
      <c r="X261" s="514"/>
    </row>
    <row r="262" spans="1:24">
      <c r="A262" s="269" t="s">
        <v>590</v>
      </c>
      <c r="B262" s="271">
        <v>50</v>
      </c>
      <c r="C262" s="269" t="s">
        <v>20</v>
      </c>
      <c r="D262" s="272">
        <v>1039</v>
      </c>
      <c r="E262" s="273" t="s">
        <v>572</v>
      </c>
      <c r="F262" s="269" t="s">
        <v>573</v>
      </c>
      <c r="G262" s="489" t="s">
        <v>591</v>
      </c>
      <c r="H262" s="269"/>
      <c r="K262" s="501"/>
      <c r="L262" s="274">
        <v>11</v>
      </c>
      <c r="M262" s="270">
        <v>12.57</v>
      </c>
      <c r="N262" s="381"/>
      <c r="O262" s="271" t="s">
        <v>41</v>
      </c>
      <c r="P262" s="276">
        <f t="shared" si="29"/>
        <v>1.0700000000000003</v>
      </c>
      <c r="Q262" s="275">
        <f t="shared" ref="Q262:Q313" si="30">P262/L262</f>
        <v>9.7272727272727302E-2</v>
      </c>
      <c r="R262" s="275"/>
      <c r="S262" s="275"/>
      <c r="T262" s="275"/>
      <c r="U262" s="400" t="s">
        <v>575</v>
      </c>
      <c r="V262" s="277">
        <v>0.5</v>
      </c>
      <c r="W262" s="458"/>
      <c r="X262" s="514"/>
    </row>
    <row r="263" spans="1:24">
      <c r="A263" s="269"/>
      <c r="B263" s="271">
        <v>120</v>
      </c>
      <c r="C263" s="269" t="s">
        <v>36</v>
      </c>
      <c r="D263" s="272">
        <v>1039</v>
      </c>
      <c r="E263" s="273" t="s">
        <v>572</v>
      </c>
      <c r="F263" s="269" t="s">
        <v>573</v>
      </c>
      <c r="G263" s="489" t="s">
        <v>592</v>
      </c>
      <c r="H263" s="269"/>
      <c r="K263" s="501"/>
      <c r="L263" s="274">
        <v>12.8</v>
      </c>
      <c r="M263" s="270">
        <v>13.840000000000002</v>
      </c>
      <c r="N263" s="381"/>
      <c r="O263" s="271" t="s">
        <v>41</v>
      </c>
      <c r="P263" s="276">
        <f t="shared" si="29"/>
        <v>0.94000000000000083</v>
      </c>
      <c r="Q263" s="275">
        <f t="shared" si="30"/>
        <v>7.3437500000000058E-2</v>
      </c>
      <c r="R263" s="275"/>
      <c r="S263" s="275"/>
      <c r="T263" s="275"/>
      <c r="U263" s="400" t="s">
        <v>575</v>
      </c>
      <c r="V263" s="277">
        <v>0.5</v>
      </c>
      <c r="W263" s="389">
        <v>0.4</v>
      </c>
      <c r="X263" s="514"/>
    </row>
    <row r="264" spans="1:24">
      <c r="A264" s="269"/>
      <c r="B264" s="271">
        <v>120</v>
      </c>
      <c r="C264" s="269" t="s">
        <v>36</v>
      </c>
      <c r="D264" s="272">
        <v>1039</v>
      </c>
      <c r="E264" s="273" t="s">
        <v>572</v>
      </c>
      <c r="F264" s="269" t="s">
        <v>573</v>
      </c>
      <c r="G264" s="489" t="s">
        <v>593</v>
      </c>
      <c r="H264" s="269"/>
      <c r="K264" s="501"/>
      <c r="L264" s="274">
        <v>14.05</v>
      </c>
      <c r="M264" s="270">
        <v>15.152500000000002</v>
      </c>
      <c r="N264" s="381"/>
      <c r="O264" s="271" t="s">
        <v>41</v>
      </c>
      <c r="P264" s="276">
        <f t="shared" si="29"/>
        <v>1.0025000000000008</v>
      </c>
      <c r="Q264" s="275">
        <f t="shared" si="30"/>
        <v>7.1352313167259845E-2</v>
      </c>
      <c r="R264" s="275"/>
      <c r="S264" s="275"/>
      <c r="T264" s="275"/>
      <c r="U264" s="400" t="s">
        <v>575</v>
      </c>
      <c r="V264" s="277">
        <v>0.5</v>
      </c>
      <c r="W264" s="389">
        <v>0.4</v>
      </c>
      <c r="X264" s="514"/>
    </row>
    <row r="265" spans="1:24">
      <c r="A265" s="27" t="s">
        <v>594</v>
      </c>
      <c r="B265" s="28">
        <v>20</v>
      </c>
      <c r="C265" s="27" t="s">
        <v>67</v>
      </c>
      <c r="D265" s="278">
        <v>1040</v>
      </c>
      <c r="E265" s="279" t="s">
        <v>595</v>
      </c>
      <c r="F265" s="27" t="s">
        <v>596</v>
      </c>
      <c r="G265" s="472" t="s">
        <v>574</v>
      </c>
      <c r="H265" s="27"/>
      <c r="K265" s="501"/>
      <c r="L265" s="30">
        <v>13.55</v>
      </c>
      <c r="M265" s="30">
        <v>14.23</v>
      </c>
      <c r="N265" s="383"/>
      <c r="O265" s="28" t="s">
        <v>41</v>
      </c>
      <c r="P265" s="280">
        <f t="shared" si="29"/>
        <v>0.4799999999999997</v>
      </c>
      <c r="Q265" s="281">
        <f t="shared" si="30"/>
        <v>3.5424354243542414E-2</v>
      </c>
      <c r="R265" s="27"/>
      <c r="S265" s="27"/>
      <c r="T265" s="27"/>
      <c r="U265" s="459" t="s">
        <v>597</v>
      </c>
      <c r="V265" s="28">
        <v>0.2</v>
      </c>
      <c r="W265" s="460"/>
      <c r="X265" s="514"/>
    </row>
    <row r="266" spans="1:24">
      <c r="A266" s="27" t="s">
        <v>598</v>
      </c>
      <c r="B266" s="28">
        <v>20</v>
      </c>
      <c r="C266" s="27" t="s">
        <v>67</v>
      </c>
      <c r="D266" s="278">
        <v>1040</v>
      </c>
      <c r="E266" s="279" t="s">
        <v>595</v>
      </c>
      <c r="F266" s="27" t="s">
        <v>596</v>
      </c>
      <c r="G266" s="472" t="s">
        <v>577</v>
      </c>
      <c r="H266" s="27"/>
      <c r="K266" s="501"/>
      <c r="L266" s="30">
        <v>13.65</v>
      </c>
      <c r="M266" s="30">
        <v>14.33</v>
      </c>
      <c r="N266" s="383"/>
      <c r="O266" s="28" t="s">
        <v>41</v>
      </c>
      <c r="P266" s="280">
        <f t="shared" si="29"/>
        <v>0.4799999999999997</v>
      </c>
      <c r="Q266" s="281">
        <f t="shared" si="30"/>
        <v>3.5164835164835144E-2</v>
      </c>
      <c r="R266" s="27"/>
      <c r="S266" s="27"/>
      <c r="T266" s="27"/>
      <c r="U266" s="459" t="s">
        <v>597</v>
      </c>
      <c r="V266" s="28">
        <v>0.2</v>
      </c>
      <c r="W266" s="460"/>
      <c r="X266" s="514"/>
    </row>
    <row r="267" spans="1:24">
      <c r="A267" s="27" t="s">
        <v>599</v>
      </c>
      <c r="B267" s="28">
        <v>20</v>
      </c>
      <c r="C267" s="27" t="s">
        <v>67</v>
      </c>
      <c r="D267" s="278">
        <v>1040</v>
      </c>
      <c r="E267" s="279" t="s">
        <v>595</v>
      </c>
      <c r="F267" s="27" t="s">
        <v>596</v>
      </c>
      <c r="G267" s="472" t="s">
        <v>600</v>
      </c>
      <c r="H267" s="27"/>
      <c r="K267" s="501"/>
      <c r="L267" s="30">
        <v>11</v>
      </c>
      <c r="M267" s="30">
        <v>11.55</v>
      </c>
      <c r="N267" s="383"/>
      <c r="O267" s="28" t="s">
        <v>41</v>
      </c>
      <c r="P267" s="280">
        <f t="shared" si="29"/>
        <v>0.3500000000000007</v>
      </c>
      <c r="Q267" s="281">
        <f t="shared" si="30"/>
        <v>3.1818181818181884E-2</v>
      </c>
      <c r="R267" s="27"/>
      <c r="S267" s="27"/>
      <c r="T267" s="27"/>
      <c r="U267" s="459" t="s">
        <v>597</v>
      </c>
      <c r="V267" s="28">
        <v>0.2</v>
      </c>
      <c r="W267" s="460"/>
      <c r="X267" s="514"/>
    </row>
    <row r="268" spans="1:24">
      <c r="A268" s="27" t="s">
        <v>601</v>
      </c>
      <c r="B268" s="28">
        <v>100</v>
      </c>
      <c r="C268" s="27" t="s">
        <v>602</v>
      </c>
      <c r="D268" s="278">
        <v>1040</v>
      </c>
      <c r="E268" s="279" t="s">
        <v>595</v>
      </c>
      <c r="F268" s="27" t="s">
        <v>596</v>
      </c>
      <c r="G268" s="472" t="s">
        <v>603</v>
      </c>
      <c r="H268" s="27"/>
      <c r="K268" s="501"/>
      <c r="L268" s="30">
        <v>9.65</v>
      </c>
      <c r="M268" s="30">
        <v>10.69</v>
      </c>
      <c r="N268" s="383"/>
      <c r="O268" s="28" t="s">
        <v>41</v>
      </c>
      <c r="P268" s="280">
        <f t="shared" si="29"/>
        <v>0.83999999999999919</v>
      </c>
      <c r="Q268" s="281">
        <f t="shared" si="30"/>
        <v>8.704663212435225E-2</v>
      </c>
      <c r="R268" s="27"/>
      <c r="S268" s="27"/>
      <c r="T268" s="27"/>
      <c r="U268" s="459" t="s">
        <v>597</v>
      </c>
      <c r="V268" s="28">
        <v>0.2</v>
      </c>
      <c r="W268" s="460"/>
      <c r="X268" s="514"/>
    </row>
    <row r="269" spans="1:24">
      <c r="A269" s="27" t="s">
        <v>604</v>
      </c>
      <c r="B269" s="28">
        <v>190</v>
      </c>
      <c r="C269" s="27" t="s">
        <v>65</v>
      </c>
      <c r="D269" s="278">
        <v>1040</v>
      </c>
      <c r="E269" s="279" t="s">
        <v>595</v>
      </c>
      <c r="F269" s="27" t="s">
        <v>596</v>
      </c>
      <c r="G269" s="472" t="s">
        <v>605</v>
      </c>
      <c r="H269" s="27"/>
      <c r="K269" s="501"/>
      <c r="L269" s="30">
        <v>19.91</v>
      </c>
      <c r="M269" s="30">
        <v>20.56</v>
      </c>
      <c r="N269" s="383"/>
      <c r="O269" s="28" t="s">
        <v>41</v>
      </c>
      <c r="P269" s="280">
        <f t="shared" si="29"/>
        <v>0.44999999999999857</v>
      </c>
      <c r="Q269" s="281">
        <f t="shared" si="30"/>
        <v>2.260170768458054E-2</v>
      </c>
      <c r="R269" s="27"/>
      <c r="S269" s="27"/>
      <c r="T269" s="27"/>
      <c r="U269" s="459" t="s">
        <v>597</v>
      </c>
      <c r="V269" s="28">
        <v>0.2</v>
      </c>
      <c r="W269" s="460"/>
      <c r="X269" s="514"/>
    </row>
    <row r="270" spans="1:24">
      <c r="A270" s="329" t="s">
        <v>606</v>
      </c>
      <c r="B270" s="330">
        <v>20</v>
      </c>
      <c r="C270" s="329" t="s">
        <v>67</v>
      </c>
      <c r="D270" s="331">
        <v>1041</v>
      </c>
      <c r="E270" s="332" t="s">
        <v>607</v>
      </c>
      <c r="F270" s="329" t="s">
        <v>118</v>
      </c>
      <c r="G270" s="490" t="s">
        <v>608</v>
      </c>
      <c r="H270" s="329"/>
      <c r="K270" s="501"/>
      <c r="L270" s="520">
        <v>13.9</v>
      </c>
      <c r="M270" s="333">
        <v>14.42</v>
      </c>
      <c r="N270" s="518">
        <f>M270*1.08</f>
        <v>15.573600000000001</v>
      </c>
      <c r="O270" s="330" t="s">
        <v>111</v>
      </c>
      <c r="P270" s="334">
        <f t="shared" si="29"/>
        <v>0.51999999999999957</v>
      </c>
      <c r="Q270" s="335">
        <f t="shared" si="30"/>
        <v>3.7410071942446013E-2</v>
      </c>
      <c r="R270" s="329"/>
      <c r="S270" s="329"/>
      <c r="T270" s="329"/>
      <c r="U270" s="461" t="s">
        <v>27</v>
      </c>
      <c r="V270" s="330"/>
      <c r="W270" s="462"/>
      <c r="X270" s="514"/>
    </row>
    <row r="271" spans="1:24">
      <c r="A271" s="329" t="s">
        <v>609</v>
      </c>
      <c r="B271" s="330">
        <v>20</v>
      </c>
      <c r="C271" s="329" t="s">
        <v>67</v>
      </c>
      <c r="D271" s="331">
        <v>1041</v>
      </c>
      <c r="E271" s="332" t="s">
        <v>607</v>
      </c>
      <c r="F271" s="329" t="s">
        <v>118</v>
      </c>
      <c r="G271" s="490" t="s">
        <v>610</v>
      </c>
      <c r="H271" s="329"/>
      <c r="K271" s="501"/>
      <c r="L271" s="520">
        <v>15.75</v>
      </c>
      <c r="M271" s="333">
        <v>16.48</v>
      </c>
      <c r="N271" s="518">
        <f t="shared" ref="N271:N277" si="31">M271*1.08</f>
        <v>17.798400000000001</v>
      </c>
      <c r="O271" s="330" t="s">
        <v>111</v>
      </c>
      <c r="P271" s="517">
        <f>M271-L271+W271-V271</f>
        <v>0.73000000000000043</v>
      </c>
      <c r="Q271" s="335">
        <f t="shared" si="30"/>
        <v>4.6349206349206376E-2</v>
      </c>
      <c r="R271" s="329"/>
      <c r="S271" s="329"/>
      <c r="T271" s="329"/>
      <c r="U271" s="461" t="s">
        <v>27</v>
      </c>
      <c r="V271" s="330"/>
      <c r="W271" s="462"/>
      <c r="X271" s="514"/>
    </row>
    <row r="272" spans="1:24">
      <c r="A272" s="329" t="s">
        <v>611</v>
      </c>
      <c r="B272" s="330">
        <v>20</v>
      </c>
      <c r="C272" s="329" t="s">
        <v>67</v>
      </c>
      <c r="D272" s="331">
        <v>1041</v>
      </c>
      <c r="E272" s="332" t="s">
        <v>607</v>
      </c>
      <c r="F272" s="329" t="s">
        <v>118</v>
      </c>
      <c r="G272" s="490" t="s">
        <v>612</v>
      </c>
      <c r="H272" s="329"/>
      <c r="K272" s="501"/>
      <c r="L272" s="333">
        <f>10.85+0.6</f>
        <v>11.45</v>
      </c>
      <c r="M272" s="333">
        <v>12.42</v>
      </c>
      <c r="N272" s="518">
        <f t="shared" si="31"/>
        <v>13.413600000000001</v>
      </c>
      <c r="O272" s="330" t="s">
        <v>111</v>
      </c>
      <c r="P272" s="334">
        <f>M272-L272+W272-V272</f>
        <v>0.97000000000000064</v>
      </c>
      <c r="Q272" s="335">
        <f t="shared" si="30"/>
        <v>8.4716157205240242E-2</v>
      </c>
      <c r="R272" s="329"/>
      <c r="S272" s="329"/>
      <c r="T272" s="329"/>
      <c r="U272" s="461" t="s">
        <v>27</v>
      </c>
      <c r="V272" s="330"/>
      <c r="W272" s="462"/>
      <c r="X272" s="514"/>
    </row>
    <row r="273" spans="1:24">
      <c r="A273" s="329" t="s">
        <v>613</v>
      </c>
      <c r="B273" s="330">
        <v>20</v>
      </c>
      <c r="C273" s="329" t="s">
        <v>67</v>
      </c>
      <c r="D273" s="331">
        <v>1041</v>
      </c>
      <c r="E273" s="332" t="s">
        <v>607</v>
      </c>
      <c r="F273" s="329" t="s">
        <v>118</v>
      </c>
      <c r="G273" s="490" t="s">
        <v>614</v>
      </c>
      <c r="H273" s="329"/>
      <c r="K273" s="501"/>
      <c r="L273" s="333">
        <f>13.65+0.6</f>
        <v>14.25</v>
      </c>
      <c r="M273" s="333">
        <v>15.44</v>
      </c>
      <c r="N273" s="518">
        <f t="shared" si="31"/>
        <v>16.6752</v>
      </c>
      <c r="O273" s="330" t="s">
        <v>111</v>
      </c>
      <c r="P273" s="334">
        <f>M273-L273+W273-V273</f>
        <v>1.1899999999999995</v>
      </c>
      <c r="Q273" s="335">
        <f t="shared" si="30"/>
        <v>8.3508771929824532E-2</v>
      </c>
      <c r="R273" s="329"/>
      <c r="S273" s="329"/>
      <c r="T273" s="329"/>
      <c r="U273" s="461" t="s">
        <v>27</v>
      </c>
      <c r="V273" s="330"/>
      <c r="W273" s="462"/>
      <c r="X273" s="514"/>
    </row>
    <row r="274" spans="1:24">
      <c r="A274" s="329" t="s">
        <v>615</v>
      </c>
      <c r="B274" s="330">
        <v>20</v>
      </c>
      <c r="C274" s="329" t="s">
        <v>67</v>
      </c>
      <c r="D274" s="331">
        <v>1041</v>
      </c>
      <c r="E274" s="332" t="s">
        <v>607</v>
      </c>
      <c r="F274" s="329" t="s">
        <v>118</v>
      </c>
      <c r="G274" s="490" t="s">
        <v>616</v>
      </c>
      <c r="H274" s="329"/>
      <c r="K274" s="501"/>
      <c r="L274" s="333">
        <f>12.4+0.6</f>
        <v>13</v>
      </c>
      <c r="M274" s="333">
        <v>14.09</v>
      </c>
      <c r="N274" s="518">
        <f t="shared" si="31"/>
        <v>15.2172</v>
      </c>
      <c r="O274" s="330" t="s">
        <v>111</v>
      </c>
      <c r="P274" s="334">
        <f t="shared" ref="P274:P283" si="32">M274-L274+W274-V274</f>
        <v>1.0899999999999999</v>
      </c>
      <c r="Q274" s="335">
        <f t="shared" si="30"/>
        <v>8.3846153846153834E-2</v>
      </c>
      <c r="R274" s="329"/>
      <c r="S274" s="329"/>
      <c r="T274" s="329"/>
      <c r="U274" s="461" t="s">
        <v>27</v>
      </c>
      <c r="V274" s="330"/>
      <c r="W274" s="462"/>
      <c r="X274" s="514"/>
    </row>
    <row r="275" spans="1:24">
      <c r="A275" s="329" t="s">
        <v>617</v>
      </c>
      <c r="B275" s="330">
        <v>20</v>
      </c>
      <c r="C275" s="329" t="s">
        <v>67</v>
      </c>
      <c r="D275" s="331">
        <v>1041</v>
      </c>
      <c r="E275" s="332" t="s">
        <v>607</v>
      </c>
      <c r="F275" s="329" t="s">
        <v>118</v>
      </c>
      <c r="G275" s="490" t="s">
        <v>618</v>
      </c>
      <c r="H275" s="329"/>
      <c r="K275" s="501"/>
      <c r="L275" s="333">
        <f>11+0.6</f>
        <v>11.6</v>
      </c>
      <c r="M275" s="333">
        <v>12.58</v>
      </c>
      <c r="N275" s="518">
        <f t="shared" si="31"/>
        <v>13.586400000000001</v>
      </c>
      <c r="O275" s="330" t="s">
        <v>111</v>
      </c>
      <c r="P275" s="334">
        <f t="shared" si="32"/>
        <v>0.98000000000000043</v>
      </c>
      <c r="Q275" s="335">
        <f t="shared" si="30"/>
        <v>8.4482758620689699E-2</v>
      </c>
      <c r="R275" s="329"/>
      <c r="S275" s="329"/>
      <c r="T275" s="329"/>
      <c r="U275" s="461" t="s">
        <v>27</v>
      </c>
      <c r="V275" s="330"/>
      <c r="W275" s="462"/>
      <c r="X275" s="514"/>
    </row>
    <row r="276" spans="1:24">
      <c r="A276" s="329" t="s">
        <v>619</v>
      </c>
      <c r="B276" s="330">
        <v>20</v>
      </c>
      <c r="C276" s="329" t="s">
        <v>67</v>
      </c>
      <c r="D276" s="331">
        <v>1041</v>
      </c>
      <c r="E276" s="332" t="s">
        <v>607</v>
      </c>
      <c r="F276" s="329" t="s">
        <v>118</v>
      </c>
      <c r="G276" s="490" t="s">
        <v>620</v>
      </c>
      <c r="H276" s="329"/>
      <c r="K276" s="501"/>
      <c r="L276" s="333">
        <v>13</v>
      </c>
      <c r="M276" s="333">
        <v>14.09</v>
      </c>
      <c r="N276" s="518">
        <f t="shared" si="31"/>
        <v>15.2172</v>
      </c>
      <c r="O276" s="330" t="s">
        <v>111</v>
      </c>
      <c r="P276" s="334">
        <f t="shared" si="32"/>
        <v>1.0899999999999999</v>
      </c>
      <c r="Q276" s="335">
        <f t="shared" si="30"/>
        <v>8.3846153846153834E-2</v>
      </c>
      <c r="R276" s="329"/>
      <c r="S276" s="329"/>
      <c r="T276" s="329"/>
      <c r="U276" s="461" t="s">
        <v>27</v>
      </c>
      <c r="V276" s="330"/>
      <c r="W276" s="462"/>
      <c r="X276" s="514"/>
    </row>
    <row r="277" spans="1:24">
      <c r="A277" s="329" t="s">
        <v>621</v>
      </c>
      <c r="B277" s="330">
        <v>30</v>
      </c>
      <c r="C277" s="329" t="s">
        <v>203</v>
      </c>
      <c r="D277" s="331">
        <v>1041</v>
      </c>
      <c r="E277" s="332" t="s">
        <v>607</v>
      </c>
      <c r="F277" s="329" t="s">
        <v>118</v>
      </c>
      <c r="G277" s="490" t="s">
        <v>622</v>
      </c>
      <c r="H277" s="329"/>
      <c r="K277" s="501"/>
      <c r="L277" s="333">
        <v>14.4</v>
      </c>
      <c r="M277" s="333">
        <v>14.77</v>
      </c>
      <c r="N277" s="518">
        <f t="shared" si="31"/>
        <v>15.951600000000001</v>
      </c>
      <c r="O277" s="330" t="s">
        <v>111</v>
      </c>
      <c r="P277" s="334">
        <f t="shared" si="32"/>
        <v>0.36999999999999922</v>
      </c>
      <c r="Q277" s="335">
        <f t="shared" si="30"/>
        <v>2.5694444444444388E-2</v>
      </c>
      <c r="R277" s="329"/>
      <c r="S277" s="329"/>
      <c r="T277" s="329"/>
      <c r="U277" s="461" t="s">
        <v>27</v>
      </c>
      <c r="V277" s="330"/>
      <c r="W277" s="462"/>
      <c r="X277" s="514"/>
    </row>
    <row r="278" spans="1:24">
      <c r="A278" s="336" t="s">
        <v>623</v>
      </c>
      <c r="B278" s="337">
        <v>20</v>
      </c>
      <c r="C278" s="336" t="s">
        <v>67</v>
      </c>
      <c r="D278" s="338">
        <v>1042</v>
      </c>
      <c r="E278" s="339" t="s">
        <v>624</v>
      </c>
      <c r="F278" s="336" t="s">
        <v>625</v>
      </c>
      <c r="G278" s="491" t="s">
        <v>626</v>
      </c>
      <c r="H278" s="336"/>
      <c r="K278" s="501" t="s">
        <v>627</v>
      </c>
      <c r="L278" s="352">
        <v>9.9</v>
      </c>
      <c r="M278" s="352">
        <f>10.74+0.75</f>
        <v>11.49</v>
      </c>
      <c r="N278" s="384"/>
      <c r="O278" s="337" t="s">
        <v>41</v>
      </c>
      <c r="P278" s="352">
        <f t="shared" si="32"/>
        <v>1.5899999999999999</v>
      </c>
      <c r="Q278" s="351">
        <f t="shared" si="30"/>
        <v>0.16060606060606059</v>
      </c>
      <c r="R278" s="336"/>
      <c r="S278" s="336"/>
      <c r="T278" s="336"/>
      <c r="U278" s="463" t="s">
        <v>27</v>
      </c>
      <c r="V278" s="337"/>
      <c r="W278" s="464"/>
      <c r="X278" s="514" t="s">
        <v>628</v>
      </c>
    </row>
    <row r="279" spans="1:24">
      <c r="A279" s="336"/>
      <c r="B279" s="337">
        <v>20</v>
      </c>
      <c r="C279" s="336" t="s">
        <v>67</v>
      </c>
      <c r="D279" s="338">
        <v>1042</v>
      </c>
      <c r="E279" s="339" t="s">
        <v>624</v>
      </c>
      <c r="F279" s="336" t="s">
        <v>625</v>
      </c>
      <c r="G279" s="491" t="s">
        <v>629</v>
      </c>
      <c r="H279" s="336"/>
      <c r="K279" s="497" t="s">
        <v>630</v>
      </c>
      <c r="L279" s="352"/>
      <c r="M279" s="352"/>
      <c r="N279" s="384"/>
      <c r="O279" s="337" t="s">
        <v>41</v>
      </c>
      <c r="P279" s="352">
        <f t="shared" si="32"/>
        <v>0</v>
      </c>
      <c r="Q279" s="351" t="e">
        <f t="shared" si="30"/>
        <v>#DIV/0!</v>
      </c>
      <c r="R279" s="336"/>
      <c r="S279" s="336"/>
      <c r="T279" s="336"/>
      <c r="U279" s="463" t="s">
        <v>27</v>
      </c>
      <c r="V279" s="337"/>
      <c r="W279" s="464"/>
      <c r="X279" s="514" t="s">
        <v>628</v>
      </c>
    </row>
    <row r="280" spans="1:24">
      <c r="A280" s="336" t="s">
        <v>631</v>
      </c>
      <c r="B280" s="337">
        <v>20</v>
      </c>
      <c r="C280" s="336" t="s">
        <v>67</v>
      </c>
      <c r="D280" s="338">
        <v>1042</v>
      </c>
      <c r="E280" s="339" t="s">
        <v>624</v>
      </c>
      <c r="F280" s="336" t="s">
        <v>625</v>
      </c>
      <c r="G280" s="491" t="s">
        <v>632</v>
      </c>
      <c r="H280" s="336"/>
      <c r="K280" s="501" t="s">
        <v>627</v>
      </c>
      <c r="L280" s="352">
        <f>13.55+0.6</f>
        <v>14.15</v>
      </c>
      <c r="M280" s="352">
        <f>14.57+0.75</f>
        <v>15.32</v>
      </c>
      <c r="N280" s="384"/>
      <c r="O280" s="337" t="s">
        <v>41</v>
      </c>
      <c r="P280" s="352">
        <f t="shared" si="32"/>
        <v>1.17</v>
      </c>
      <c r="Q280" s="351">
        <f t="shared" si="30"/>
        <v>8.2685512367491165E-2</v>
      </c>
      <c r="R280" s="336"/>
      <c r="S280" s="336"/>
      <c r="T280" s="336"/>
      <c r="U280" s="463" t="s">
        <v>27</v>
      </c>
      <c r="V280" s="337"/>
      <c r="W280" s="464"/>
      <c r="X280" s="514" t="s">
        <v>628</v>
      </c>
    </row>
    <row r="281" spans="1:24">
      <c r="A281" s="336" t="s">
        <v>633</v>
      </c>
      <c r="B281" s="337">
        <v>20</v>
      </c>
      <c r="C281" s="336" t="s">
        <v>67</v>
      </c>
      <c r="D281" s="338">
        <v>1042</v>
      </c>
      <c r="E281" s="339" t="s">
        <v>624</v>
      </c>
      <c r="F281" s="336" t="s">
        <v>625</v>
      </c>
      <c r="G281" s="491" t="s">
        <v>574</v>
      </c>
      <c r="H281" s="336"/>
      <c r="K281" s="501" t="s">
        <v>627</v>
      </c>
      <c r="L281" s="352">
        <v>13.55</v>
      </c>
      <c r="M281" s="352">
        <v>14.57</v>
      </c>
      <c r="N281" s="384"/>
      <c r="O281" s="337" t="s">
        <v>41</v>
      </c>
      <c r="P281" s="352">
        <f t="shared" si="32"/>
        <v>1.0199999999999996</v>
      </c>
      <c r="Q281" s="351">
        <f t="shared" si="30"/>
        <v>7.5276752767527641E-2</v>
      </c>
      <c r="R281" s="336"/>
      <c r="S281" s="336"/>
      <c r="T281" s="336"/>
      <c r="U281" s="463" t="s">
        <v>27</v>
      </c>
      <c r="V281" s="337"/>
      <c r="W281" s="464"/>
      <c r="X281" s="514" t="s">
        <v>628</v>
      </c>
    </row>
    <row r="282" spans="1:24">
      <c r="A282" s="336" t="s">
        <v>634</v>
      </c>
      <c r="B282" s="337">
        <v>20</v>
      </c>
      <c r="C282" s="336" t="s">
        <v>67</v>
      </c>
      <c r="D282" s="338">
        <v>1042</v>
      </c>
      <c r="E282" s="339" t="s">
        <v>624</v>
      </c>
      <c r="F282" s="336" t="s">
        <v>625</v>
      </c>
      <c r="G282" s="491" t="s">
        <v>635</v>
      </c>
      <c r="H282" s="336"/>
      <c r="K282" s="501" t="s">
        <v>627</v>
      </c>
      <c r="L282" s="352">
        <f>9.1+0.6</f>
        <v>9.6999999999999993</v>
      </c>
      <c r="M282" s="352">
        <f>10.01+0.75</f>
        <v>10.76</v>
      </c>
      <c r="N282" s="384"/>
      <c r="O282" s="337" t="s">
        <v>41</v>
      </c>
      <c r="P282" s="352">
        <f t="shared" si="32"/>
        <v>1.0600000000000005</v>
      </c>
      <c r="Q282" s="351">
        <f t="shared" si="30"/>
        <v>0.10927835051546397</v>
      </c>
      <c r="R282" s="336"/>
      <c r="S282" s="336"/>
      <c r="T282" s="336"/>
      <c r="U282" s="463" t="s">
        <v>27</v>
      </c>
      <c r="V282" s="337"/>
      <c r="W282" s="464"/>
      <c r="X282" s="514" t="s">
        <v>628</v>
      </c>
    </row>
    <row r="283" spans="1:24">
      <c r="A283" s="336" t="s">
        <v>636</v>
      </c>
      <c r="B283" s="337">
        <v>20</v>
      </c>
      <c r="C283" s="336" t="s">
        <v>67</v>
      </c>
      <c r="D283" s="338">
        <v>1042</v>
      </c>
      <c r="E283" s="339" t="s">
        <v>624</v>
      </c>
      <c r="F283" s="336" t="s">
        <v>625</v>
      </c>
      <c r="G283" s="491" t="s">
        <v>637</v>
      </c>
      <c r="H283" s="336"/>
      <c r="K283" s="501" t="s">
        <v>627</v>
      </c>
      <c r="L283" s="352"/>
      <c r="M283" s="352">
        <f>17.2+0.75</f>
        <v>17.95</v>
      </c>
      <c r="N283" s="384"/>
      <c r="O283" s="337" t="s">
        <v>41</v>
      </c>
      <c r="P283" s="352">
        <f t="shared" si="32"/>
        <v>17.95</v>
      </c>
      <c r="Q283" s="351" t="e">
        <f t="shared" si="30"/>
        <v>#DIV/0!</v>
      </c>
      <c r="R283" s="336"/>
      <c r="S283" s="336"/>
      <c r="T283" s="336"/>
      <c r="U283" s="463" t="s">
        <v>27</v>
      </c>
      <c r="V283" s="337"/>
      <c r="W283" s="464"/>
      <c r="X283" s="514" t="s">
        <v>628</v>
      </c>
    </row>
    <row r="284" spans="1:24">
      <c r="A284" s="340" t="s">
        <v>638</v>
      </c>
      <c r="B284" s="341">
        <v>20</v>
      </c>
      <c r="C284" s="340" t="s">
        <v>67</v>
      </c>
      <c r="D284" s="342">
        <v>1043</v>
      </c>
      <c r="E284" s="343" t="s">
        <v>639</v>
      </c>
      <c r="F284" s="340" t="s">
        <v>22</v>
      </c>
      <c r="G284" s="492" t="s">
        <v>600</v>
      </c>
      <c r="H284" s="340"/>
      <c r="K284" s="501"/>
      <c r="L284" s="344">
        <v>11</v>
      </c>
      <c r="M284" s="390">
        <v>12.6</v>
      </c>
      <c r="N284" s="515"/>
      <c r="O284" s="341" t="s">
        <v>111</v>
      </c>
      <c r="P284" s="344">
        <f t="shared" ref="P284:P291" si="33">M284/1.07-L284+W284-V284</f>
        <v>0.77570093457943834</v>
      </c>
      <c r="Q284" s="345">
        <f t="shared" si="30"/>
        <v>7.0518266779948935E-2</v>
      </c>
      <c r="R284" s="340"/>
      <c r="S284" s="340"/>
      <c r="T284" s="340"/>
      <c r="U284" s="465" t="s">
        <v>27</v>
      </c>
      <c r="V284" s="341"/>
      <c r="W284" s="466"/>
      <c r="X284" s="514"/>
    </row>
    <row r="285" spans="1:24">
      <c r="A285" s="340" t="s">
        <v>640</v>
      </c>
      <c r="B285" s="341">
        <v>20</v>
      </c>
      <c r="C285" s="340" t="s">
        <v>67</v>
      </c>
      <c r="D285" s="342">
        <v>1043</v>
      </c>
      <c r="E285" s="343" t="s">
        <v>639</v>
      </c>
      <c r="F285" s="340" t="s">
        <v>22</v>
      </c>
      <c r="G285" s="492" t="s">
        <v>641</v>
      </c>
      <c r="H285" s="340"/>
      <c r="K285" s="501"/>
      <c r="L285" s="344">
        <v>12.4</v>
      </c>
      <c r="M285" s="390">
        <v>14.2</v>
      </c>
      <c r="N285" s="515"/>
      <c r="O285" s="341" t="s">
        <v>111</v>
      </c>
      <c r="P285" s="344">
        <f t="shared" si="33"/>
        <v>0.87102803738317647</v>
      </c>
      <c r="Q285" s="345">
        <f t="shared" si="30"/>
        <v>7.0244196563159389E-2</v>
      </c>
      <c r="R285" s="340"/>
      <c r="S285" s="340"/>
      <c r="T285" s="340"/>
      <c r="U285" s="465" t="s">
        <v>27</v>
      </c>
      <c r="V285" s="341"/>
      <c r="W285" s="466"/>
      <c r="X285" s="514"/>
    </row>
    <row r="286" spans="1:24">
      <c r="A286" s="340" t="s">
        <v>642</v>
      </c>
      <c r="B286" s="341">
        <v>20</v>
      </c>
      <c r="C286" s="340" t="s">
        <v>67</v>
      </c>
      <c r="D286" s="342">
        <v>1043</v>
      </c>
      <c r="E286" s="343" t="s">
        <v>639</v>
      </c>
      <c r="F286" s="340" t="s">
        <v>22</v>
      </c>
      <c r="G286" s="492" t="s">
        <v>643</v>
      </c>
      <c r="H286" s="340"/>
      <c r="K286" s="501"/>
      <c r="L286" s="344">
        <v>13.65</v>
      </c>
      <c r="M286" s="390">
        <v>15.63</v>
      </c>
      <c r="N286" s="515"/>
      <c r="O286" s="341" t="s">
        <v>111</v>
      </c>
      <c r="P286" s="344">
        <f t="shared" si="33"/>
        <v>0.95747663551401807</v>
      </c>
      <c r="Q286" s="345">
        <f t="shared" si="30"/>
        <v>7.0144808462565419E-2</v>
      </c>
      <c r="R286" s="340"/>
      <c r="S286" s="340"/>
      <c r="T286" s="340"/>
      <c r="U286" s="465" t="s">
        <v>27</v>
      </c>
      <c r="V286" s="341"/>
      <c r="W286" s="466"/>
      <c r="X286" s="514"/>
    </row>
    <row r="287" spans="1:24">
      <c r="A287" s="340" t="s">
        <v>644</v>
      </c>
      <c r="B287" s="341">
        <v>120</v>
      </c>
      <c r="C287" s="340" t="s">
        <v>36</v>
      </c>
      <c r="D287" s="342">
        <v>1043</v>
      </c>
      <c r="E287" s="343" t="s">
        <v>639</v>
      </c>
      <c r="F287" s="340" t="s">
        <v>22</v>
      </c>
      <c r="G287" s="492" t="s">
        <v>40</v>
      </c>
      <c r="H287" s="340"/>
      <c r="K287" s="501"/>
      <c r="L287" s="344">
        <v>12.8</v>
      </c>
      <c r="M287" s="390">
        <v>13.88</v>
      </c>
      <c r="N287" s="515"/>
      <c r="O287" s="341" t="s">
        <v>111</v>
      </c>
      <c r="P287" s="344">
        <f t="shared" si="33"/>
        <v>0.57196261682242844</v>
      </c>
      <c r="Q287" s="345">
        <f t="shared" si="30"/>
        <v>4.468457943925222E-2</v>
      </c>
      <c r="R287" s="340"/>
      <c r="S287" s="340"/>
      <c r="T287" s="340"/>
      <c r="U287" s="465" t="s">
        <v>27</v>
      </c>
      <c r="V287" s="341"/>
      <c r="W287" s="466">
        <v>0.4</v>
      </c>
      <c r="X287" s="514"/>
    </row>
    <row r="288" spans="1:24">
      <c r="A288" s="340" t="s">
        <v>645</v>
      </c>
      <c r="B288" s="341">
        <v>120</v>
      </c>
      <c r="C288" s="340" t="s">
        <v>36</v>
      </c>
      <c r="D288" s="342">
        <v>1043</v>
      </c>
      <c r="E288" s="343" t="s">
        <v>639</v>
      </c>
      <c r="F288" s="340" t="s">
        <v>22</v>
      </c>
      <c r="G288" s="492" t="s">
        <v>646</v>
      </c>
      <c r="H288" s="340"/>
      <c r="K288" s="501"/>
      <c r="L288" s="344">
        <v>14.05</v>
      </c>
      <c r="M288" s="390">
        <v>15.28</v>
      </c>
      <c r="N288" s="515"/>
      <c r="O288" s="341" t="s">
        <v>111</v>
      </c>
      <c r="P288" s="344">
        <f t="shared" si="33"/>
        <v>0.63037383177569917</v>
      </c>
      <c r="Q288" s="345">
        <f t="shared" si="30"/>
        <v>4.4866464895067557E-2</v>
      </c>
      <c r="R288" s="340"/>
      <c r="S288" s="340"/>
      <c r="T288" s="340"/>
      <c r="U288" s="465" t="s">
        <v>27</v>
      </c>
      <c r="V288" s="341"/>
      <c r="W288" s="466">
        <v>0.4</v>
      </c>
      <c r="X288" s="514"/>
    </row>
    <row r="289" spans="1:24">
      <c r="A289" s="340" t="s">
        <v>647</v>
      </c>
      <c r="B289" s="341">
        <v>120</v>
      </c>
      <c r="C289" s="340" t="s">
        <v>36</v>
      </c>
      <c r="D289" s="342">
        <v>1043</v>
      </c>
      <c r="E289" s="343" t="s">
        <v>639</v>
      </c>
      <c r="F289" s="340" t="s">
        <v>22</v>
      </c>
      <c r="G289" s="492" t="s">
        <v>409</v>
      </c>
      <c r="H289" s="340"/>
      <c r="K289" s="501"/>
      <c r="L289" s="344">
        <v>17.899999999999999</v>
      </c>
      <c r="M289" s="390">
        <v>19.59</v>
      </c>
      <c r="N289" s="515"/>
      <c r="O289" s="341" t="s">
        <v>111</v>
      </c>
      <c r="P289" s="344">
        <f t="shared" si="33"/>
        <v>0.40841121495327215</v>
      </c>
      <c r="Q289" s="345">
        <f t="shared" si="30"/>
        <v>2.2816268991802915E-2</v>
      </c>
      <c r="R289" s="340"/>
      <c r="S289" s="340"/>
      <c r="T289" s="340"/>
      <c r="U289" s="465" t="s">
        <v>27</v>
      </c>
      <c r="V289" s="341"/>
      <c r="W289" s="466"/>
      <c r="X289" s="514"/>
    </row>
    <row r="290" spans="1:24">
      <c r="A290" s="340" t="s">
        <v>648</v>
      </c>
      <c r="B290" s="341">
        <v>20</v>
      </c>
      <c r="C290" s="340" t="s">
        <v>67</v>
      </c>
      <c r="D290" s="342">
        <v>1043</v>
      </c>
      <c r="E290" s="343" t="s">
        <v>639</v>
      </c>
      <c r="F290" s="340" t="s">
        <v>22</v>
      </c>
      <c r="G290" s="492" t="s">
        <v>649</v>
      </c>
      <c r="H290" s="340"/>
      <c r="K290" s="501"/>
      <c r="L290" s="344">
        <v>16.350000000000001</v>
      </c>
      <c r="M290" s="390">
        <v>17.93</v>
      </c>
      <c r="N290" s="515"/>
      <c r="O290" s="341" t="s">
        <v>111</v>
      </c>
      <c r="P290" s="344">
        <f t="shared" si="33"/>
        <v>0.40700934579438908</v>
      </c>
      <c r="Q290" s="345">
        <f t="shared" si="30"/>
        <v>2.4893537969075782E-2</v>
      </c>
      <c r="R290" s="340"/>
      <c r="S290" s="340"/>
      <c r="T290" s="340"/>
      <c r="U290" s="465" t="s">
        <v>27</v>
      </c>
      <c r="V290" s="341"/>
      <c r="W290" s="466"/>
      <c r="X290" s="514"/>
    </row>
    <row r="291" spans="1:24">
      <c r="A291" s="340" t="s">
        <v>650</v>
      </c>
      <c r="B291" s="341">
        <v>80</v>
      </c>
      <c r="C291" s="340" t="s">
        <v>30</v>
      </c>
      <c r="D291" s="342">
        <v>1043</v>
      </c>
      <c r="E291" s="343" t="s">
        <v>639</v>
      </c>
      <c r="F291" s="340" t="s">
        <v>22</v>
      </c>
      <c r="G291" s="492" t="s">
        <v>289</v>
      </c>
      <c r="H291" s="340" t="s">
        <v>651</v>
      </c>
      <c r="K291" s="501"/>
      <c r="L291" s="344">
        <v>15.6</v>
      </c>
      <c r="M291" s="390">
        <v>17.010000000000002</v>
      </c>
      <c r="N291" s="515"/>
      <c r="O291" s="341" t="s">
        <v>111</v>
      </c>
      <c r="P291" s="344">
        <f t="shared" si="33"/>
        <v>0.39719626168224342</v>
      </c>
      <c r="Q291" s="345">
        <f t="shared" si="30"/>
        <v>2.5461298825784837E-2</v>
      </c>
      <c r="R291" s="340"/>
      <c r="S291" s="340"/>
      <c r="T291" s="340"/>
      <c r="U291" s="465" t="s">
        <v>27</v>
      </c>
      <c r="V291" s="341"/>
      <c r="W291" s="466">
        <v>0.1</v>
      </c>
      <c r="X291" s="514"/>
    </row>
    <row r="292" spans="1:24">
      <c r="A292" s="340" t="s">
        <v>652</v>
      </c>
      <c r="B292" s="341">
        <v>180</v>
      </c>
      <c r="C292" s="340" t="s">
        <v>287</v>
      </c>
      <c r="D292" s="342">
        <v>1043</v>
      </c>
      <c r="E292" s="343" t="s">
        <v>639</v>
      </c>
      <c r="F292" s="340" t="s">
        <v>22</v>
      </c>
      <c r="G292" s="492" t="s">
        <v>653</v>
      </c>
      <c r="H292" s="340"/>
      <c r="K292" s="501"/>
      <c r="L292" s="344">
        <v>13.25</v>
      </c>
      <c r="M292" s="390">
        <v>14.5</v>
      </c>
      <c r="N292" s="515"/>
      <c r="O292" s="341" t="s">
        <v>111</v>
      </c>
      <c r="P292" s="344">
        <f>M292/1.07-L292+W292-V292</f>
        <v>0.40140186915887843</v>
      </c>
      <c r="Q292" s="345">
        <f t="shared" si="30"/>
        <v>3.0294480691236109E-2</v>
      </c>
      <c r="R292" s="340"/>
      <c r="S292" s="340"/>
      <c r="T292" s="340"/>
      <c r="U292" s="465" t="s">
        <v>27</v>
      </c>
      <c r="V292" s="341"/>
      <c r="W292" s="466">
        <v>0.1</v>
      </c>
      <c r="X292" s="514"/>
    </row>
    <row r="293" spans="1:24">
      <c r="A293" s="340" t="s">
        <v>848</v>
      </c>
      <c r="B293" s="341">
        <v>20</v>
      </c>
      <c r="C293" s="340" t="s">
        <v>67</v>
      </c>
      <c r="D293" s="342">
        <v>1043</v>
      </c>
      <c r="E293" s="343" t="s">
        <v>639</v>
      </c>
      <c r="F293" s="340" t="s">
        <v>22</v>
      </c>
      <c r="G293" s="492" t="s">
        <v>849</v>
      </c>
      <c r="H293" s="340"/>
      <c r="K293" s="501"/>
      <c r="L293" s="344">
        <v>10.1</v>
      </c>
      <c r="M293" s="390">
        <v>10.89</v>
      </c>
      <c r="N293" s="515"/>
      <c r="O293" s="341" t="s">
        <v>111</v>
      </c>
      <c r="P293" s="344">
        <f>M293/1.07-L293+W293-V293</f>
        <v>7.7570093457945077E-2</v>
      </c>
      <c r="Q293" s="345">
        <f t="shared" si="30"/>
        <v>7.6802072730638689E-3</v>
      </c>
      <c r="R293" s="340"/>
      <c r="S293" s="340"/>
      <c r="T293" s="340"/>
      <c r="U293" s="465" t="s">
        <v>27</v>
      </c>
      <c r="V293" s="341"/>
      <c r="W293" s="466"/>
      <c r="X293" s="514"/>
    </row>
    <row r="294" spans="1:24">
      <c r="A294" s="340" t="s">
        <v>850</v>
      </c>
      <c r="B294" s="341">
        <v>100</v>
      </c>
      <c r="C294" s="340" t="s">
        <v>113</v>
      </c>
      <c r="D294" s="342">
        <v>1043</v>
      </c>
      <c r="E294" s="343" t="s">
        <v>639</v>
      </c>
      <c r="F294" s="340" t="s">
        <v>22</v>
      </c>
      <c r="G294" s="492" t="s">
        <v>849</v>
      </c>
      <c r="H294" s="340"/>
      <c r="K294" s="501"/>
      <c r="L294" s="344">
        <v>9.6999999999999993</v>
      </c>
      <c r="M294" s="390">
        <v>10.89</v>
      </c>
      <c r="N294" s="515"/>
      <c r="O294" s="341" t="s">
        <v>111</v>
      </c>
      <c r="P294" s="344">
        <f>M294/1.07-L294+W294-V294</f>
        <v>0.47757009345794543</v>
      </c>
      <c r="Q294" s="345">
        <f t="shared" si="30"/>
        <v>4.9234030253396441E-2</v>
      </c>
      <c r="R294" s="340"/>
      <c r="S294" s="340"/>
      <c r="T294" s="340"/>
      <c r="U294" s="465" t="s">
        <v>27</v>
      </c>
      <c r="V294" s="341"/>
      <c r="W294" s="466"/>
      <c r="X294" s="514"/>
    </row>
    <row r="295" spans="1:24">
      <c r="A295" s="340" t="s">
        <v>654</v>
      </c>
      <c r="B295" s="341">
        <v>20</v>
      </c>
      <c r="C295" s="340" t="s">
        <v>655</v>
      </c>
      <c r="D295" s="342">
        <v>1043</v>
      </c>
      <c r="E295" s="343" t="s">
        <v>639</v>
      </c>
      <c r="F295" s="340" t="s">
        <v>22</v>
      </c>
      <c r="G295" s="492" t="s">
        <v>656</v>
      </c>
      <c r="H295" s="340"/>
      <c r="K295" s="501"/>
      <c r="L295" s="344">
        <v>20.5</v>
      </c>
      <c r="M295" s="390">
        <v>22.67</v>
      </c>
      <c r="N295" s="515"/>
      <c r="O295" s="341" t="s">
        <v>111</v>
      </c>
      <c r="P295" s="344">
        <f t="shared" ref="P295:P296" si="34">M295/1.07-L295+W295-V295</f>
        <v>0.68691588785046775</v>
      </c>
      <c r="Q295" s="345">
        <f t="shared" si="30"/>
        <v>3.3508092090266721E-2</v>
      </c>
      <c r="R295" s="340"/>
      <c r="S295" s="340"/>
      <c r="T295" s="340"/>
      <c r="U295" s="465" t="s">
        <v>657</v>
      </c>
      <c r="V295" s="341"/>
      <c r="W295" s="466"/>
      <c r="X295" s="514"/>
    </row>
    <row r="296" spans="1:24">
      <c r="A296" s="340" t="s">
        <v>658</v>
      </c>
      <c r="B296" s="341">
        <v>20</v>
      </c>
      <c r="C296" s="340" t="s">
        <v>655</v>
      </c>
      <c r="D296" s="342">
        <v>1043</v>
      </c>
      <c r="E296" s="343" t="s">
        <v>639</v>
      </c>
      <c r="F296" s="340" t="s">
        <v>22</v>
      </c>
      <c r="G296" s="492" t="s">
        <v>659</v>
      </c>
      <c r="H296" s="340"/>
      <c r="K296" s="501"/>
      <c r="L296" s="344">
        <v>20.5</v>
      </c>
      <c r="M296" s="390">
        <v>22.67</v>
      </c>
      <c r="N296" s="515"/>
      <c r="O296" s="341" t="s">
        <v>111</v>
      </c>
      <c r="P296" s="344">
        <f t="shared" si="34"/>
        <v>0.68691588785046775</v>
      </c>
      <c r="Q296" s="345">
        <f t="shared" si="30"/>
        <v>3.3508092090266721E-2</v>
      </c>
      <c r="R296" s="340"/>
      <c r="S296" s="340"/>
      <c r="T296" s="340"/>
      <c r="U296" s="465" t="s">
        <v>657</v>
      </c>
      <c r="V296" s="341"/>
      <c r="W296" s="466"/>
      <c r="X296" s="514"/>
    </row>
    <row r="297" spans="1:24">
      <c r="A297" s="346" t="s">
        <v>660</v>
      </c>
      <c r="B297" s="347">
        <v>20</v>
      </c>
      <c r="C297" s="346" t="s">
        <v>67</v>
      </c>
      <c r="D297" s="516">
        <v>1044</v>
      </c>
      <c r="E297" s="350" t="s">
        <v>661</v>
      </c>
      <c r="F297" s="346" t="s">
        <v>662</v>
      </c>
      <c r="G297" s="493" t="s">
        <v>592</v>
      </c>
      <c r="H297" s="346"/>
      <c r="K297" s="501"/>
      <c r="L297" s="348">
        <v>13.3</v>
      </c>
      <c r="M297" s="348">
        <v>14.31</v>
      </c>
      <c r="N297" s="385"/>
      <c r="O297" s="347" t="s">
        <v>41</v>
      </c>
      <c r="P297" s="348">
        <f t="shared" ref="P297:P299" si="35">M297-L297+W297-V297</f>
        <v>0.74499999999999966</v>
      </c>
      <c r="Q297" s="349">
        <f t="shared" si="30"/>
        <v>5.6015037593984934E-2</v>
      </c>
      <c r="R297" s="346"/>
      <c r="S297" s="346"/>
      <c r="T297" s="346"/>
      <c r="U297" s="467" t="s">
        <v>27</v>
      </c>
      <c r="V297" s="468">
        <f t="shared" ref="V297:V312" si="36">0.05*L297</f>
        <v>0.66500000000000004</v>
      </c>
      <c r="W297" s="469">
        <v>0.4</v>
      </c>
      <c r="X297" s="514" t="s">
        <v>663</v>
      </c>
    </row>
    <row r="298" spans="1:24">
      <c r="A298" s="346" t="s">
        <v>664</v>
      </c>
      <c r="B298" s="347">
        <v>20</v>
      </c>
      <c r="C298" s="346" t="s">
        <v>67</v>
      </c>
      <c r="D298" s="516">
        <v>1044</v>
      </c>
      <c r="E298" s="350" t="s">
        <v>661</v>
      </c>
      <c r="F298" s="346" t="s">
        <v>662</v>
      </c>
      <c r="G298" s="493" t="s">
        <v>665</v>
      </c>
      <c r="H298" s="346"/>
      <c r="K298" s="501"/>
      <c r="L298" s="348">
        <v>13.7</v>
      </c>
      <c r="M298" s="348">
        <v>14.76</v>
      </c>
      <c r="N298" s="385"/>
      <c r="O298" s="347" t="s">
        <v>41</v>
      </c>
      <c r="P298" s="348">
        <f t="shared" si="35"/>
        <v>0.77500000000000036</v>
      </c>
      <c r="Q298" s="349">
        <f t="shared" si="30"/>
        <v>5.6569343065693459E-2</v>
      </c>
      <c r="R298" s="346"/>
      <c r="S298" s="346"/>
      <c r="T298" s="346"/>
      <c r="U298" s="467" t="s">
        <v>27</v>
      </c>
      <c r="V298" s="468">
        <f t="shared" si="36"/>
        <v>0.68500000000000005</v>
      </c>
      <c r="W298" s="469">
        <v>0.4</v>
      </c>
      <c r="X298" s="514" t="s">
        <v>663</v>
      </c>
    </row>
    <row r="299" spans="1:24">
      <c r="A299" s="346" t="s">
        <v>666</v>
      </c>
      <c r="B299" s="347">
        <v>20</v>
      </c>
      <c r="C299" s="346" t="s">
        <v>67</v>
      </c>
      <c r="D299" s="516">
        <v>1044</v>
      </c>
      <c r="E299" s="350" t="s">
        <v>661</v>
      </c>
      <c r="F299" s="346" t="s">
        <v>662</v>
      </c>
      <c r="G299" s="493" t="s">
        <v>593</v>
      </c>
      <c r="H299" s="346"/>
      <c r="K299" s="501"/>
      <c r="L299" s="348">
        <v>15.15</v>
      </c>
      <c r="M299" s="348">
        <v>16.36</v>
      </c>
      <c r="N299" s="385"/>
      <c r="O299" s="347" t="s">
        <v>41</v>
      </c>
      <c r="P299" s="348">
        <f t="shared" si="35"/>
        <v>0.85249999999999893</v>
      </c>
      <c r="Q299" s="349">
        <f t="shared" si="30"/>
        <v>5.6270627062706198E-2</v>
      </c>
      <c r="R299" s="346"/>
      <c r="S299" s="346"/>
      <c r="T299" s="346"/>
      <c r="U299" s="467" t="s">
        <v>27</v>
      </c>
      <c r="V299" s="468">
        <f t="shared" si="36"/>
        <v>0.75750000000000006</v>
      </c>
      <c r="W299" s="469">
        <v>0.4</v>
      </c>
      <c r="X299" s="514" t="s">
        <v>663</v>
      </c>
    </row>
    <row r="300" spans="1:24">
      <c r="A300" s="346" t="s">
        <v>667</v>
      </c>
      <c r="B300" s="347">
        <v>20</v>
      </c>
      <c r="C300" s="346" t="s">
        <v>67</v>
      </c>
      <c r="D300" s="516">
        <v>1044</v>
      </c>
      <c r="E300" s="350" t="s">
        <v>661</v>
      </c>
      <c r="F300" s="346" t="s">
        <v>662</v>
      </c>
      <c r="G300" s="493" t="s">
        <v>668</v>
      </c>
      <c r="H300" s="346"/>
      <c r="K300" s="501" t="s">
        <v>847</v>
      </c>
      <c r="L300" s="348">
        <v>15.7</v>
      </c>
      <c r="M300" s="348">
        <v>16.97</v>
      </c>
      <c r="N300" s="385" t="s">
        <v>846</v>
      </c>
      <c r="O300" s="347" t="s">
        <v>41</v>
      </c>
      <c r="P300" s="348">
        <v>0</v>
      </c>
      <c r="Q300" s="349">
        <f t="shared" si="30"/>
        <v>0</v>
      </c>
      <c r="R300" s="346"/>
      <c r="S300" s="346"/>
      <c r="T300" s="346"/>
      <c r="U300" s="467" t="s">
        <v>27</v>
      </c>
      <c r="V300" s="468">
        <f t="shared" si="36"/>
        <v>0.78500000000000003</v>
      </c>
      <c r="W300" s="469">
        <v>0.4</v>
      </c>
      <c r="X300" s="514" t="s">
        <v>663</v>
      </c>
    </row>
    <row r="301" spans="1:24">
      <c r="A301" s="346" t="s">
        <v>669</v>
      </c>
      <c r="B301" s="347">
        <v>20</v>
      </c>
      <c r="C301" s="346" t="s">
        <v>67</v>
      </c>
      <c r="D301" s="516">
        <v>1044</v>
      </c>
      <c r="E301" s="350" t="s">
        <v>661</v>
      </c>
      <c r="F301" s="346" t="s">
        <v>662</v>
      </c>
      <c r="G301" s="493" t="s">
        <v>670</v>
      </c>
      <c r="H301" s="346"/>
      <c r="K301" s="501" t="s">
        <v>847</v>
      </c>
      <c r="L301" s="348">
        <v>16.2</v>
      </c>
      <c r="M301" s="348">
        <v>17.53</v>
      </c>
      <c r="N301" s="385" t="s">
        <v>846</v>
      </c>
      <c r="O301" s="347" t="s">
        <v>41</v>
      </c>
      <c r="P301" s="348">
        <v>0</v>
      </c>
      <c r="Q301" s="349">
        <f t="shared" si="30"/>
        <v>0</v>
      </c>
      <c r="R301" s="346"/>
      <c r="S301" s="346"/>
      <c r="T301" s="346"/>
      <c r="U301" s="467" t="s">
        <v>27</v>
      </c>
      <c r="V301" s="468">
        <f t="shared" si="36"/>
        <v>0.81</v>
      </c>
      <c r="W301" s="469">
        <v>0.4</v>
      </c>
      <c r="X301" s="514" t="s">
        <v>663</v>
      </c>
    </row>
    <row r="302" spans="1:24">
      <c r="A302" s="346" t="s">
        <v>671</v>
      </c>
      <c r="B302" s="347">
        <v>20</v>
      </c>
      <c r="C302" s="346" t="s">
        <v>67</v>
      </c>
      <c r="D302" s="516">
        <v>1044</v>
      </c>
      <c r="E302" s="350" t="s">
        <v>661</v>
      </c>
      <c r="F302" s="346" t="s">
        <v>662</v>
      </c>
      <c r="G302" s="493" t="s">
        <v>672</v>
      </c>
      <c r="H302" s="346"/>
      <c r="K302" s="501"/>
      <c r="L302" s="348">
        <v>8.4</v>
      </c>
      <c r="M302" s="348">
        <v>9.44</v>
      </c>
      <c r="N302" s="385"/>
      <c r="O302" s="347" t="s">
        <v>41</v>
      </c>
      <c r="P302" s="348">
        <f t="shared" ref="P302:P312" si="37">M302-L302+W302-V302</f>
        <v>0.61999999999999911</v>
      </c>
      <c r="Q302" s="349">
        <f t="shared" si="30"/>
        <v>7.38095238095237E-2</v>
      </c>
      <c r="R302" s="346"/>
      <c r="S302" s="346"/>
      <c r="T302" s="346"/>
      <c r="U302" s="467" t="s">
        <v>27</v>
      </c>
      <c r="V302" s="468">
        <f t="shared" si="36"/>
        <v>0.42000000000000004</v>
      </c>
      <c r="W302" s="469"/>
      <c r="X302" s="514" t="s">
        <v>663</v>
      </c>
    </row>
    <row r="303" spans="1:24">
      <c r="A303" s="346" t="s">
        <v>673</v>
      </c>
      <c r="B303" s="347">
        <v>20</v>
      </c>
      <c r="C303" s="346" t="s">
        <v>67</v>
      </c>
      <c r="D303" s="516">
        <v>1044</v>
      </c>
      <c r="E303" s="350" t="s">
        <v>661</v>
      </c>
      <c r="F303" s="346" t="s">
        <v>662</v>
      </c>
      <c r="G303" s="493" t="s">
        <v>674</v>
      </c>
      <c r="H303" s="346"/>
      <c r="K303" s="501"/>
      <c r="L303" s="348">
        <v>5.2</v>
      </c>
      <c r="M303" s="348">
        <v>5.85</v>
      </c>
      <c r="N303" s="385"/>
      <c r="O303" s="347" t="s">
        <v>41</v>
      </c>
      <c r="P303" s="348">
        <f t="shared" si="37"/>
        <v>0.38999999999999946</v>
      </c>
      <c r="Q303" s="349">
        <f t="shared" si="30"/>
        <v>7.49999999999999E-2</v>
      </c>
      <c r="R303" s="346"/>
      <c r="S303" s="346"/>
      <c r="T303" s="346"/>
      <c r="U303" s="467" t="s">
        <v>27</v>
      </c>
      <c r="V303" s="468">
        <f t="shared" si="36"/>
        <v>0.26</v>
      </c>
      <c r="W303" s="469"/>
      <c r="X303" s="514" t="s">
        <v>663</v>
      </c>
    </row>
    <row r="304" spans="1:24">
      <c r="A304" s="346" t="s">
        <v>675</v>
      </c>
      <c r="B304" s="347">
        <v>20</v>
      </c>
      <c r="C304" s="346" t="s">
        <v>67</v>
      </c>
      <c r="D304" s="516">
        <v>1044</v>
      </c>
      <c r="E304" s="350" t="s">
        <v>661</v>
      </c>
      <c r="F304" s="346" t="s">
        <v>662</v>
      </c>
      <c r="G304" s="493" t="s">
        <v>676</v>
      </c>
      <c r="H304" s="346"/>
      <c r="K304" s="501"/>
      <c r="L304" s="348">
        <v>13.5</v>
      </c>
      <c r="M304" s="348">
        <v>15.9</v>
      </c>
      <c r="N304" s="385"/>
      <c r="O304" s="347" t="s">
        <v>41</v>
      </c>
      <c r="P304" s="348">
        <f t="shared" si="37"/>
        <v>1.7250000000000003</v>
      </c>
      <c r="Q304" s="349">
        <f t="shared" si="30"/>
        <v>0.1277777777777778</v>
      </c>
      <c r="R304" s="346"/>
      <c r="S304" s="346"/>
      <c r="T304" s="346"/>
      <c r="U304" s="467" t="s">
        <v>27</v>
      </c>
      <c r="V304" s="468">
        <f t="shared" si="36"/>
        <v>0.67500000000000004</v>
      </c>
      <c r="W304" s="469"/>
      <c r="X304" s="514" t="s">
        <v>663</v>
      </c>
    </row>
    <row r="305" spans="1:24">
      <c r="A305" s="346" t="s">
        <v>677</v>
      </c>
      <c r="B305" s="347">
        <v>20</v>
      </c>
      <c r="C305" s="346" t="s">
        <v>67</v>
      </c>
      <c r="D305" s="516">
        <v>1044</v>
      </c>
      <c r="E305" s="350" t="s">
        <v>661</v>
      </c>
      <c r="F305" s="346" t="s">
        <v>662</v>
      </c>
      <c r="G305" s="493" t="s">
        <v>678</v>
      </c>
      <c r="H305" s="346"/>
      <c r="K305" s="501"/>
      <c r="L305" s="348">
        <v>13.55</v>
      </c>
      <c r="M305" s="348">
        <v>15.22</v>
      </c>
      <c r="N305" s="385"/>
      <c r="O305" s="347" t="s">
        <v>41</v>
      </c>
      <c r="P305" s="348">
        <f t="shared" si="37"/>
        <v>0.99249999999999983</v>
      </c>
      <c r="Q305" s="349">
        <f t="shared" si="30"/>
        <v>7.3247232472324703E-2</v>
      </c>
      <c r="R305" s="346"/>
      <c r="S305" s="346"/>
      <c r="T305" s="346"/>
      <c r="U305" s="467" t="s">
        <v>27</v>
      </c>
      <c r="V305" s="468">
        <f t="shared" si="36"/>
        <v>0.6775000000000001</v>
      </c>
      <c r="W305" s="469"/>
      <c r="X305" s="514" t="s">
        <v>663</v>
      </c>
    </row>
    <row r="306" spans="1:24">
      <c r="A306" s="346" t="s">
        <v>679</v>
      </c>
      <c r="B306" s="347">
        <v>20</v>
      </c>
      <c r="C306" s="346" t="s">
        <v>67</v>
      </c>
      <c r="D306" s="516">
        <v>1044</v>
      </c>
      <c r="E306" s="350" t="s">
        <v>661</v>
      </c>
      <c r="F306" s="346" t="s">
        <v>662</v>
      </c>
      <c r="G306" s="493" t="s">
        <v>680</v>
      </c>
      <c r="H306" s="346"/>
      <c r="K306" s="501"/>
      <c r="L306" s="348">
        <v>16</v>
      </c>
      <c r="M306" s="348">
        <v>17.98</v>
      </c>
      <c r="N306" s="385"/>
      <c r="O306" s="347" t="s">
        <v>41</v>
      </c>
      <c r="P306" s="348">
        <f t="shared" si="37"/>
        <v>1.1800000000000004</v>
      </c>
      <c r="Q306" s="349">
        <f t="shared" si="30"/>
        <v>7.3750000000000024E-2</v>
      </c>
      <c r="R306" s="346"/>
      <c r="S306" s="346"/>
      <c r="T306" s="346"/>
      <c r="U306" s="467" t="s">
        <v>27</v>
      </c>
      <c r="V306" s="468">
        <f t="shared" si="36"/>
        <v>0.8</v>
      </c>
      <c r="W306" s="469"/>
      <c r="X306" s="514" t="s">
        <v>663</v>
      </c>
    </row>
    <row r="307" spans="1:24">
      <c r="A307" s="346" t="s">
        <v>681</v>
      </c>
      <c r="B307" s="347">
        <v>20</v>
      </c>
      <c r="C307" s="346" t="s">
        <v>67</v>
      </c>
      <c r="D307" s="516">
        <v>1044</v>
      </c>
      <c r="E307" s="350" t="s">
        <v>661</v>
      </c>
      <c r="F307" s="346" t="s">
        <v>662</v>
      </c>
      <c r="G307" s="493" t="s">
        <v>851</v>
      </c>
      <c r="H307" s="346"/>
      <c r="K307" s="501"/>
      <c r="L307" s="348">
        <v>13.65</v>
      </c>
      <c r="M307" s="348">
        <v>15.34</v>
      </c>
      <c r="N307" s="385"/>
      <c r="O307" s="347" t="s">
        <v>41</v>
      </c>
      <c r="P307" s="348">
        <f t="shared" si="37"/>
        <v>1.0074999999999994</v>
      </c>
      <c r="Q307" s="349">
        <f t="shared" si="30"/>
        <v>7.3809523809523769E-2</v>
      </c>
      <c r="R307" s="346"/>
      <c r="S307" s="346"/>
      <c r="T307" s="346"/>
      <c r="U307" s="467" t="s">
        <v>27</v>
      </c>
      <c r="V307" s="468">
        <f t="shared" si="36"/>
        <v>0.68250000000000011</v>
      </c>
      <c r="W307" s="469"/>
      <c r="X307" s="514" t="s">
        <v>663</v>
      </c>
    </row>
    <row r="308" spans="1:24">
      <c r="A308" s="346" t="s">
        <v>682</v>
      </c>
      <c r="B308" s="347">
        <v>20</v>
      </c>
      <c r="C308" s="346" t="s">
        <v>67</v>
      </c>
      <c r="D308" s="516">
        <v>1044</v>
      </c>
      <c r="E308" s="350" t="s">
        <v>661</v>
      </c>
      <c r="F308" s="346" t="s">
        <v>662</v>
      </c>
      <c r="G308" s="493" t="s">
        <v>683</v>
      </c>
      <c r="H308" s="346"/>
      <c r="K308" s="501"/>
      <c r="L308" s="348">
        <v>12.4</v>
      </c>
      <c r="M308" s="348">
        <v>13.93</v>
      </c>
      <c r="N308" s="385"/>
      <c r="O308" s="347" t="s">
        <v>41</v>
      </c>
      <c r="P308" s="348">
        <f t="shared" si="37"/>
        <v>0.90999999999999925</v>
      </c>
      <c r="Q308" s="349">
        <f t="shared" si="30"/>
        <v>7.3387096774193486E-2</v>
      </c>
      <c r="R308" s="346"/>
      <c r="S308" s="346"/>
      <c r="T308" s="346"/>
      <c r="U308" s="467" t="s">
        <v>27</v>
      </c>
      <c r="V308" s="468">
        <f t="shared" si="36"/>
        <v>0.62000000000000011</v>
      </c>
      <c r="W308" s="469"/>
      <c r="X308" s="514" t="s">
        <v>663</v>
      </c>
    </row>
    <row r="309" spans="1:24">
      <c r="A309" s="346" t="s">
        <v>684</v>
      </c>
      <c r="B309" s="347">
        <v>20</v>
      </c>
      <c r="C309" s="346" t="s">
        <v>67</v>
      </c>
      <c r="D309" s="516">
        <v>1044</v>
      </c>
      <c r="E309" s="350" t="s">
        <v>661</v>
      </c>
      <c r="F309" s="346" t="s">
        <v>662</v>
      </c>
      <c r="G309" s="493" t="s">
        <v>685</v>
      </c>
      <c r="H309" s="346"/>
      <c r="K309" s="501"/>
      <c r="L309" s="348">
        <v>11.45</v>
      </c>
      <c r="M309" s="348">
        <v>12.86</v>
      </c>
      <c r="N309" s="385"/>
      <c r="O309" s="347" t="s">
        <v>41</v>
      </c>
      <c r="P309" s="348">
        <f t="shared" si="37"/>
        <v>0.83750000000000013</v>
      </c>
      <c r="Q309" s="349">
        <f t="shared" si="30"/>
        <v>7.3144104803493468E-2</v>
      </c>
      <c r="R309" s="346"/>
      <c r="S309" s="346"/>
      <c r="T309" s="346"/>
      <c r="U309" s="467" t="s">
        <v>27</v>
      </c>
      <c r="V309" s="468">
        <f t="shared" si="36"/>
        <v>0.57250000000000001</v>
      </c>
      <c r="W309" s="469"/>
      <c r="X309" s="514" t="s">
        <v>663</v>
      </c>
    </row>
    <row r="310" spans="1:24">
      <c r="A310" s="346" t="s">
        <v>686</v>
      </c>
      <c r="B310" s="347">
        <v>20</v>
      </c>
      <c r="C310" s="346" t="s">
        <v>67</v>
      </c>
      <c r="D310" s="516">
        <v>1044</v>
      </c>
      <c r="E310" s="350" t="s">
        <v>661</v>
      </c>
      <c r="F310" s="346" t="s">
        <v>662</v>
      </c>
      <c r="G310" s="493" t="s">
        <v>852</v>
      </c>
      <c r="H310" s="346"/>
      <c r="K310" s="501"/>
      <c r="L310" s="348">
        <v>11</v>
      </c>
      <c r="M310" s="348">
        <v>12.36</v>
      </c>
      <c r="N310" s="385"/>
      <c r="O310" s="347" t="s">
        <v>41</v>
      </c>
      <c r="P310" s="348">
        <f t="shared" si="37"/>
        <v>0.80999999999999939</v>
      </c>
      <c r="Q310" s="349">
        <f t="shared" si="30"/>
        <v>7.3636363636363583E-2</v>
      </c>
      <c r="R310" s="346"/>
      <c r="S310" s="346"/>
      <c r="T310" s="346"/>
      <c r="U310" s="467" t="s">
        <v>27</v>
      </c>
      <c r="V310" s="468">
        <f t="shared" si="36"/>
        <v>0.55000000000000004</v>
      </c>
      <c r="W310" s="469"/>
      <c r="X310" s="514" t="s">
        <v>663</v>
      </c>
    </row>
    <row r="311" spans="1:24">
      <c r="A311" s="346" t="s">
        <v>687</v>
      </c>
      <c r="B311" s="347">
        <v>80</v>
      </c>
      <c r="C311" s="346" t="s">
        <v>30</v>
      </c>
      <c r="D311" s="516">
        <v>1044</v>
      </c>
      <c r="E311" s="350" t="s">
        <v>661</v>
      </c>
      <c r="F311" s="346" t="s">
        <v>662</v>
      </c>
      <c r="G311" s="493" t="s">
        <v>688</v>
      </c>
      <c r="H311" s="346"/>
      <c r="K311" s="501"/>
      <c r="L311" s="348">
        <v>13.9</v>
      </c>
      <c r="M311" s="348">
        <v>17.47</v>
      </c>
      <c r="N311" s="385"/>
      <c r="O311" s="347" t="s">
        <v>41</v>
      </c>
      <c r="P311" s="348">
        <f t="shared" si="37"/>
        <v>2.9749999999999988</v>
      </c>
      <c r="Q311" s="349">
        <f t="shared" si="30"/>
        <v>0.21402877697841718</v>
      </c>
      <c r="R311" s="346"/>
      <c r="S311" s="346"/>
      <c r="T311" s="346"/>
      <c r="U311" s="467" t="s">
        <v>27</v>
      </c>
      <c r="V311" s="468">
        <f t="shared" si="36"/>
        <v>0.69500000000000006</v>
      </c>
      <c r="W311" s="469">
        <v>0.1</v>
      </c>
      <c r="X311" s="514" t="s">
        <v>663</v>
      </c>
    </row>
    <row r="312" spans="1:24">
      <c r="A312" s="346" t="s">
        <v>689</v>
      </c>
      <c r="B312" s="347">
        <v>80</v>
      </c>
      <c r="C312" s="346" t="s">
        <v>30</v>
      </c>
      <c r="D312" s="516">
        <v>1044</v>
      </c>
      <c r="E312" s="350" t="s">
        <v>661</v>
      </c>
      <c r="F312" s="346" t="s">
        <v>662</v>
      </c>
      <c r="G312" s="493" t="s">
        <v>50</v>
      </c>
      <c r="H312" s="346"/>
      <c r="K312" s="501"/>
      <c r="L312" s="348">
        <v>15.45</v>
      </c>
      <c r="M312" s="348">
        <v>19.03</v>
      </c>
      <c r="N312" s="385"/>
      <c r="O312" s="347" t="s">
        <v>41</v>
      </c>
      <c r="P312" s="348">
        <f t="shared" si="37"/>
        <v>2.907500000000002</v>
      </c>
      <c r="Q312" s="349">
        <f t="shared" si="30"/>
        <v>0.18818770226537229</v>
      </c>
      <c r="R312" s="346"/>
      <c r="S312" s="346"/>
      <c r="T312" s="346"/>
      <c r="U312" s="467" t="s">
        <v>27</v>
      </c>
      <c r="V312" s="468">
        <f t="shared" si="36"/>
        <v>0.77249999999999996</v>
      </c>
      <c r="W312" s="469">
        <v>0.1</v>
      </c>
      <c r="X312" s="514" t="s">
        <v>663</v>
      </c>
    </row>
    <row r="313" spans="1:24">
      <c r="A313" s="346" t="s">
        <v>690</v>
      </c>
      <c r="B313" s="347">
        <v>80</v>
      </c>
      <c r="C313" s="346" t="s">
        <v>30</v>
      </c>
      <c r="D313" s="516">
        <v>1044</v>
      </c>
      <c r="E313" s="350" t="s">
        <v>661</v>
      </c>
      <c r="F313" s="346" t="s">
        <v>662</v>
      </c>
      <c r="G313" s="493" t="s">
        <v>691</v>
      </c>
      <c r="H313" s="346" t="s">
        <v>692</v>
      </c>
      <c r="K313" s="501"/>
      <c r="L313" s="348">
        <v>15</v>
      </c>
      <c r="M313" s="348">
        <v>16.75</v>
      </c>
      <c r="N313" s="385"/>
      <c r="O313" s="347" t="s">
        <v>41</v>
      </c>
      <c r="P313" s="348">
        <f>M313-L313+W313-V313</f>
        <v>1.1000000000000001</v>
      </c>
      <c r="Q313" s="349">
        <f t="shared" si="30"/>
        <v>7.3333333333333334E-2</v>
      </c>
      <c r="R313" s="346"/>
      <c r="S313" s="346"/>
      <c r="T313" s="346"/>
      <c r="U313" s="467" t="s">
        <v>693</v>
      </c>
      <c r="V313" s="468">
        <f>0.05*L313</f>
        <v>0.75</v>
      </c>
      <c r="W313" s="469">
        <v>0.1</v>
      </c>
      <c r="X313" s="514" t="s">
        <v>663</v>
      </c>
    </row>
  </sheetData>
  <sheetProtection autoFilter="0"/>
  <autoFilter ref="A2:WLO313" xr:uid="{04FA48A1-953B-4CBB-BCCD-3B50D12F2940}"/>
  <phoneticPr fontId="1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659BB-76C6-4A6C-85DD-F903DFC758A8}">
  <dimension ref="A1:QQ46"/>
  <sheetViews>
    <sheetView zoomScale="115" zoomScaleNormal="115" zoomScaleSheetLayoutView="50" workbookViewId="0">
      <pane ySplit="2" topLeftCell="A3" activePane="bottomLeft" state="frozen"/>
      <selection activeCell="A2" sqref="A2"/>
      <selection pane="bottomLeft" activeCell="G54" sqref="G54"/>
    </sheetView>
  </sheetViews>
  <sheetFormatPr baseColWidth="10" defaultColWidth="8.42578125" defaultRowHeight="15"/>
  <cols>
    <col min="1" max="1" width="23" customWidth="1"/>
    <col min="2" max="2" width="12.7109375" style="1" customWidth="1"/>
    <col min="3" max="3" width="31.42578125" customWidth="1"/>
    <col min="4" max="4" width="13.42578125" customWidth="1"/>
    <col min="5" max="5" width="28.42578125" customWidth="1"/>
    <col min="6" max="6" width="10.42578125" customWidth="1"/>
    <col min="7" max="7" width="57.42578125" customWidth="1"/>
    <col min="8" max="8" width="10.42578125" customWidth="1"/>
    <col min="9" max="9" width="24.140625" customWidth="1"/>
    <col min="10" max="10" width="17.28515625" customWidth="1"/>
    <col min="11" max="11" width="18" customWidth="1"/>
    <col min="12" max="12" width="20.7109375" customWidth="1"/>
    <col min="13" max="13" width="18.7109375" customWidth="1"/>
    <col min="14" max="14" width="16.42578125" customWidth="1"/>
    <col min="177" max="177" width="22.42578125" bestFit="1" customWidth="1"/>
    <col min="178" max="178" width="8.42578125" customWidth="1"/>
    <col min="179" max="179" width="29.42578125" customWidth="1"/>
    <col min="180" max="180" width="7" customWidth="1"/>
    <col min="181" max="181" width="22.42578125" bestFit="1" customWidth="1"/>
    <col min="182" max="182" width="62.42578125" customWidth="1"/>
    <col min="183" max="183" width="2.42578125" customWidth="1"/>
    <col min="184" max="184" width="7" customWidth="1"/>
    <col min="185" max="185" width="11.42578125" customWidth="1"/>
    <col min="186" max="187" width="12.42578125" customWidth="1"/>
    <col min="188" max="190" width="8.42578125" customWidth="1"/>
    <col min="191" max="191" width="12.42578125" customWidth="1"/>
    <col min="192" max="193" width="8.42578125" customWidth="1"/>
    <col min="194" max="194" width="44" customWidth="1"/>
    <col min="195" max="195" width="10.42578125" customWidth="1"/>
    <col min="196" max="196" width="7.42578125" customWidth="1"/>
    <col min="197" max="197" width="11.42578125" customWidth="1"/>
    <col min="198" max="199" width="12.42578125" customWidth="1"/>
    <col min="200" max="200" width="11.42578125" customWidth="1"/>
    <col min="201" max="202" width="8.42578125" customWidth="1"/>
    <col min="203" max="203" width="17.42578125" customWidth="1"/>
    <col min="204" max="204" width="12.42578125" customWidth="1"/>
    <col min="205" max="206" width="8.42578125" customWidth="1"/>
    <col min="207" max="207" width="44" customWidth="1"/>
    <col min="209" max="209" width="7.42578125" customWidth="1"/>
    <col min="210" max="210" width="11.42578125" customWidth="1"/>
    <col min="211" max="212" width="12.42578125" customWidth="1"/>
    <col min="213" max="213" width="11.42578125" customWidth="1"/>
    <col min="214" max="215" width="8.42578125" customWidth="1"/>
    <col min="216" max="216" width="17.42578125" customWidth="1"/>
    <col min="217" max="217" width="12.42578125" customWidth="1"/>
    <col min="218" max="219" width="8.42578125" customWidth="1"/>
    <col min="220" max="220" width="44" customWidth="1"/>
    <col min="223" max="223" width="7.42578125" customWidth="1"/>
    <col min="224" max="224" width="11.42578125" customWidth="1"/>
    <col min="225" max="226" width="12.42578125" customWidth="1"/>
    <col min="227" max="227" width="11.42578125" customWidth="1"/>
    <col min="228" max="229" width="8.42578125" customWidth="1"/>
    <col min="230" max="230" width="17.42578125" customWidth="1"/>
    <col min="231" max="231" width="12.42578125" customWidth="1"/>
    <col min="232" max="233" width="8.42578125" customWidth="1"/>
    <col min="234" max="234" width="43.42578125" customWidth="1"/>
    <col min="236" max="236" width="7.42578125" customWidth="1"/>
    <col min="237" max="237" width="11.42578125" customWidth="1"/>
    <col min="238" max="239" width="12.42578125" customWidth="1"/>
    <col min="240" max="240" width="11.42578125" customWidth="1"/>
    <col min="241" max="241" width="8.42578125" customWidth="1"/>
    <col min="242" max="242" width="8.42578125" bestFit="1" customWidth="1"/>
    <col min="243" max="243" width="17.42578125" bestFit="1" customWidth="1"/>
    <col min="244" max="244" width="12.42578125" bestFit="1" customWidth="1"/>
    <col min="245" max="246" width="8.42578125" customWidth="1"/>
    <col min="247" max="247" width="44" customWidth="1"/>
    <col min="433" max="433" width="22.42578125" bestFit="1" customWidth="1"/>
    <col min="434" max="434" width="8.42578125" customWidth="1"/>
    <col min="435" max="435" width="29.42578125" customWidth="1"/>
    <col min="436" max="436" width="7" customWidth="1"/>
    <col min="437" max="437" width="22.42578125" bestFit="1" customWidth="1"/>
    <col min="438" max="438" width="62.42578125" customWidth="1"/>
    <col min="439" max="439" width="2.42578125" customWidth="1"/>
    <col min="440" max="440" width="7" customWidth="1"/>
    <col min="441" max="441" width="11.42578125" customWidth="1"/>
    <col min="442" max="443" width="12.42578125" customWidth="1"/>
    <col min="444" max="446" width="8.42578125" customWidth="1"/>
    <col min="447" max="447" width="12.42578125" customWidth="1"/>
    <col min="448" max="449" width="8.42578125" customWidth="1"/>
    <col min="450" max="450" width="44" customWidth="1"/>
    <col min="451" max="451" width="10.42578125" customWidth="1"/>
    <col min="452" max="452" width="7.42578125" customWidth="1"/>
    <col min="453" max="453" width="11.42578125" customWidth="1"/>
    <col min="454" max="455" width="12.42578125" customWidth="1"/>
    <col min="456" max="456" width="11.42578125" customWidth="1"/>
    <col min="457" max="458" width="8.42578125" customWidth="1"/>
    <col min="459" max="459" width="17.42578125" customWidth="1"/>
    <col min="460" max="460" width="12.42578125" customWidth="1"/>
    <col min="461" max="462" width="8.42578125" customWidth="1"/>
    <col min="463" max="463" width="44" customWidth="1"/>
    <col min="465" max="465" width="7.42578125" customWidth="1"/>
    <col min="466" max="466" width="11.42578125" customWidth="1"/>
    <col min="467" max="468" width="12.42578125" customWidth="1"/>
    <col min="469" max="469" width="11.42578125" customWidth="1"/>
    <col min="470" max="471" width="8.42578125" customWidth="1"/>
    <col min="472" max="472" width="17.42578125" customWidth="1"/>
    <col min="473" max="473" width="12.42578125" customWidth="1"/>
    <col min="474" max="475" width="8.42578125" customWidth="1"/>
    <col min="476" max="476" width="44" customWidth="1"/>
    <col min="479" max="479" width="7.42578125" customWidth="1"/>
    <col min="480" max="480" width="11.42578125" customWidth="1"/>
    <col min="481" max="482" width="12.42578125" customWidth="1"/>
    <col min="483" max="483" width="11.42578125" customWidth="1"/>
    <col min="484" max="485" width="8.42578125" customWidth="1"/>
    <col min="486" max="486" width="17.42578125" customWidth="1"/>
    <col min="487" max="487" width="12.42578125" customWidth="1"/>
    <col min="488" max="489" width="8.42578125" customWidth="1"/>
    <col min="490" max="490" width="43.42578125" customWidth="1"/>
    <col min="492" max="492" width="7.42578125" customWidth="1"/>
    <col min="493" max="493" width="11.42578125" customWidth="1"/>
    <col min="494" max="495" width="12.42578125" customWidth="1"/>
    <col min="496" max="496" width="11.42578125" customWidth="1"/>
    <col min="497" max="497" width="8.42578125" customWidth="1"/>
    <col min="498" max="498" width="8.42578125" bestFit="1" customWidth="1"/>
    <col min="499" max="499" width="17.42578125" bestFit="1" customWidth="1"/>
    <col min="500" max="500" width="12.42578125" bestFit="1" customWidth="1"/>
    <col min="501" max="502" width="8.42578125" customWidth="1"/>
    <col min="503" max="503" width="44" customWidth="1"/>
    <col min="689" max="689" width="22.42578125" bestFit="1" customWidth="1"/>
    <col min="690" max="690" width="8.42578125" customWidth="1"/>
    <col min="691" max="691" width="29.42578125" customWidth="1"/>
    <col min="692" max="692" width="7" customWidth="1"/>
    <col min="693" max="693" width="22.42578125" bestFit="1" customWidth="1"/>
    <col min="694" max="694" width="62.42578125" customWidth="1"/>
    <col min="695" max="695" width="2.42578125" customWidth="1"/>
    <col min="696" max="696" width="7" customWidth="1"/>
    <col min="697" max="697" width="11.42578125" customWidth="1"/>
    <col min="698" max="699" width="12.42578125" customWidth="1"/>
    <col min="700" max="702" width="8.42578125" customWidth="1"/>
    <col min="703" max="703" width="12.42578125" customWidth="1"/>
    <col min="704" max="705" width="8.42578125" customWidth="1"/>
    <col min="706" max="706" width="44" customWidth="1"/>
    <col min="707" max="707" width="10.42578125" customWidth="1"/>
    <col min="708" max="708" width="7.42578125" customWidth="1"/>
    <col min="709" max="709" width="11.42578125" customWidth="1"/>
    <col min="710" max="711" width="12.42578125" customWidth="1"/>
    <col min="712" max="712" width="11.42578125" customWidth="1"/>
    <col min="713" max="714" width="8.42578125" customWidth="1"/>
    <col min="715" max="715" width="17.42578125" customWidth="1"/>
    <col min="716" max="716" width="12.42578125" customWidth="1"/>
    <col min="717" max="718" width="8.42578125" customWidth="1"/>
    <col min="719" max="719" width="44" customWidth="1"/>
    <col min="721" max="721" width="7.42578125" customWidth="1"/>
    <col min="722" max="722" width="11.42578125" customWidth="1"/>
    <col min="723" max="724" width="12.42578125" customWidth="1"/>
    <col min="725" max="725" width="11.42578125" customWidth="1"/>
    <col min="726" max="727" width="8.42578125" customWidth="1"/>
    <col min="728" max="728" width="17.42578125" customWidth="1"/>
    <col min="729" max="729" width="12.42578125" customWidth="1"/>
    <col min="730" max="731" width="8.42578125" customWidth="1"/>
    <col min="732" max="732" width="44" customWidth="1"/>
    <col min="735" max="735" width="7.42578125" customWidth="1"/>
    <col min="736" max="736" width="11.42578125" customWidth="1"/>
    <col min="737" max="738" width="12.42578125" customWidth="1"/>
    <col min="739" max="739" width="11.42578125" customWidth="1"/>
    <col min="740" max="741" width="8.42578125" customWidth="1"/>
    <col min="742" max="742" width="17.42578125" customWidth="1"/>
    <col min="743" max="743" width="12.42578125" customWidth="1"/>
    <col min="744" max="745" width="8.42578125" customWidth="1"/>
    <col min="746" max="746" width="43.42578125" customWidth="1"/>
    <col min="748" max="748" width="7.42578125" customWidth="1"/>
    <col min="749" max="749" width="11.42578125" customWidth="1"/>
    <col min="750" max="751" width="12.42578125" customWidth="1"/>
    <col min="752" max="752" width="11.42578125" customWidth="1"/>
    <col min="753" max="753" width="8.42578125" customWidth="1"/>
    <col min="754" max="754" width="8.42578125" bestFit="1" customWidth="1"/>
    <col min="755" max="755" width="17.42578125" bestFit="1" customWidth="1"/>
    <col min="756" max="756" width="12.42578125" bestFit="1" customWidth="1"/>
    <col min="757" max="758" width="8.42578125" customWidth="1"/>
    <col min="759" max="759" width="44" customWidth="1"/>
    <col min="945" max="945" width="22.42578125" bestFit="1" customWidth="1"/>
    <col min="946" max="946" width="8.42578125" customWidth="1"/>
    <col min="947" max="947" width="29.42578125" customWidth="1"/>
    <col min="948" max="948" width="7" customWidth="1"/>
    <col min="949" max="949" width="22.42578125" bestFit="1" customWidth="1"/>
    <col min="950" max="950" width="62.42578125" customWidth="1"/>
    <col min="951" max="951" width="2.42578125" customWidth="1"/>
    <col min="952" max="952" width="7" customWidth="1"/>
    <col min="953" max="953" width="11.42578125" customWidth="1"/>
    <col min="954" max="955" width="12.42578125" customWidth="1"/>
    <col min="956" max="958" width="8.42578125" customWidth="1"/>
    <col min="959" max="959" width="12.42578125" customWidth="1"/>
    <col min="960" max="961" width="8.42578125" customWidth="1"/>
    <col min="962" max="962" width="44" customWidth="1"/>
    <col min="963" max="963" width="10.42578125" customWidth="1"/>
    <col min="964" max="964" width="7.42578125" customWidth="1"/>
    <col min="965" max="965" width="11.42578125" customWidth="1"/>
    <col min="966" max="967" width="12.42578125" customWidth="1"/>
    <col min="968" max="968" width="11.42578125" customWidth="1"/>
    <col min="969" max="970" width="8.42578125" customWidth="1"/>
    <col min="971" max="971" width="17.42578125" customWidth="1"/>
    <col min="972" max="972" width="12.42578125" customWidth="1"/>
    <col min="973" max="974" width="8.42578125" customWidth="1"/>
    <col min="975" max="975" width="44" customWidth="1"/>
    <col min="977" max="977" width="7.42578125" customWidth="1"/>
    <col min="978" max="978" width="11.42578125" customWidth="1"/>
    <col min="979" max="980" width="12.42578125" customWidth="1"/>
    <col min="981" max="981" width="11.42578125" customWidth="1"/>
    <col min="982" max="983" width="8.42578125" customWidth="1"/>
    <col min="984" max="984" width="17.42578125" customWidth="1"/>
    <col min="985" max="985" width="12.42578125" customWidth="1"/>
    <col min="986" max="987" width="8.42578125" customWidth="1"/>
    <col min="988" max="988" width="44" customWidth="1"/>
    <col min="991" max="991" width="7.42578125" customWidth="1"/>
    <col min="992" max="992" width="11.42578125" customWidth="1"/>
    <col min="993" max="994" width="12.42578125" customWidth="1"/>
    <col min="995" max="995" width="11.42578125" customWidth="1"/>
    <col min="996" max="997" width="8.42578125" customWidth="1"/>
    <col min="998" max="998" width="17.42578125" customWidth="1"/>
    <col min="999" max="999" width="12.42578125" customWidth="1"/>
    <col min="1000" max="1001" width="8.42578125" customWidth="1"/>
    <col min="1002" max="1002" width="43.42578125" customWidth="1"/>
    <col min="1004" max="1004" width="7.42578125" customWidth="1"/>
    <col min="1005" max="1005" width="11.42578125" customWidth="1"/>
    <col min="1006" max="1007" width="12.42578125" customWidth="1"/>
    <col min="1008" max="1008" width="11.42578125" customWidth="1"/>
    <col min="1009" max="1009" width="8.42578125" customWidth="1"/>
    <col min="1010" max="1010" width="8.42578125" bestFit="1" customWidth="1"/>
    <col min="1011" max="1011" width="17.42578125" bestFit="1" customWidth="1"/>
    <col min="1012" max="1012" width="12.42578125" bestFit="1" customWidth="1"/>
    <col min="1013" max="1014" width="8.42578125" customWidth="1"/>
    <col min="1015" max="1015" width="44" customWidth="1"/>
    <col min="1201" max="1201" width="22.42578125" bestFit="1" customWidth="1"/>
    <col min="1202" max="1202" width="8.42578125" customWidth="1"/>
    <col min="1203" max="1203" width="29.42578125" customWidth="1"/>
    <col min="1204" max="1204" width="7" customWidth="1"/>
    <col min="1205" max="1205" width="22.42578125" bestFit="1" customWidth="1"/>
    <col min="1206" max="1206" width="62.42578125" customWidth="1"/>
    <col min="1207" max="1207" width="2.42578125" customWidth="1"/>
    <col min="1208" max="1208" width="7" customWidth="1"/>
    <col min="1209" max="1209" width="11.42578125" customWidth="1"/>
    <col min="1210" max="1211" width="12.42578125" customWidth="1"/>
    <col min="1212" max="1214" width="8.42578125" customWidth="1"/>
    <col min="1215" max="1215" width="12.42578125" customWidth="1"/>
    <col min="1216" max="1217" width="8.42578125" customWidth="1"/>
    <col min="1218" max="1218" width="44" customWidth="1"/>
    <col min="1219" max="1219" width="10.42578125" customWidth="1"/>
    <col min="1220" max="1220" width="7.42578125" customWidth="1"/>
    <col min="1221" max="1221" width="11.42578125" customWidth="1"/>
    <col min="1222" max="1223" width="12.42578125" customWidth="1"/>
    <col min="1224" max="1224" width="11.42578125" customWidth="1"/>
    <col min="1225" max="1226" width="8.42578125" customWidth="1"/>
    <col min="1227" max="1227" width="17.42578125" customWidth="1"/>
    <col min="1228" max="1228" width="12.42578125" customWidth="1"/>
    <col min="1229" max="1230" width="8.42578125" customWidth="1"/>
    <col min="1231" max="1231" width="44" customWidth="1"/>
    <col min="1233" max="1233" width="7.42578125" customWidth="1"/>
    <col min="1234" max="1234" width="11.42578125" customWidth="1"/>
    <col min="1235" max="1236" width="12.42578125" customWidth="1"/>
    <col min="1237" max="1237" width="11.42578125" customWidth="1"/>
    <col min="1238" max="1239" width="8.42578125" customWidth="1"/>
    <col min="1240" max="1240" width="17.42578125" customWidth="1"/>
    <col min="1241" max="1241" width="12.42578125" customWidth="1"/>
    <col min="1242" max="1243" width="8.42578125" customWidth="1"/>
    <col min="1244" max="1244" width="44" customWidth="1"/>
    <col min="1247" max="1247" width="7.42578125" customWidth="1"/>
    <col min="1248" max="1248" width="11.42578125" customWidth="1"/>
    <col min="1249" max="1250" width="12.42578125" customWidth="1"/>
    <col min="1251" max="1251" width="11.42578125" customWidth="1"/>
    <col min="1252" max="1253" width="8.42578125" customWidth="1"/>
    <col min="1254" max="1254" width="17.42578125" customWidth="1"/>
    <col min="1255" max="1255" width="12.42578125" customWidth="1"/>
    <col min="1256" max="1257" width="8.42578125" customWidth="1"/>
    <col min="1258" max="1258" width="43.42578125" customWidth="1"/>
    <col min="1260" max="1260" width="7.42578125" customWidth="1"/>
    <col min="1261" max="1261" width="11.42578125" customWidth="1"/>
    <col min="1262" max="1263" width="12.42578125" customWidth="1"/>
    <col min="1264" max="1264" width="11.42578125" customWidth="1"/>
    <col min="1265" max="1265" width="8.42578125" customWidth="1"/>
    <col min="1266" max="1266" width="8.42578125" bestFit="1" customWidth="1"/>
    <col min="1267" max="1267" width="17.42578125" bestFit="1" customWidth="1"/>
    <col min="1268" max="1268" width="12.42578125" bestFit="1" customWidth="1"/>
    <col min="1269" max="1270" width="8.42578125" customWidth="1"/>
    <col min="1271" max="1271" width="44" customWidth="1"/>
    <col min="1457" max="1457" width="22.42578125" bestFit="1" customWidth="1"/>
    <col min="1458" max="1458" width="8.42578125" customWidth="1"/>
    <col min="1459" max="1459" width="29.42578125" customWidth="1"/>
    <col min="1460" max="1460" width="7" customWidth="1"/>
    <col min="1461" max="1461" width="22.42578125" bestFit="1" customWidth="1"/>
    <col min="1462" max="1462" width="62.42578125" customWidth="1"/>
    <col min="1463" max="1463" width="2.42578125" customWidth="1"/>
    <col min="1464" max="1464" width="7" customWidth="1"/>
    <col min="1465" max="1465" width="11.42578125" customWidth="1"/>
    <col min="1466" max="1467" width="12.42578125" customWidth="1"/>
    <col min="1468" max="1470" width="8.42578125" customWidth="1"/>
    <col min="1471" max="1471" width="12.42578125" customWidth="1"/>
    <col min="1472" max="1473" width="8.42578125" customWidth="1"/>
    <col min="1474" max="1474" width="44" customWidth="1"/>
    <col min="1475" max="1475" width="10.42578125" customWidth="1"/>
    <col min="1476" max="1476" width="7.42578125" customWidth="1"/>
    <col min="1477" max="1477" width="11.42578125" customWidth="1"/>
    <col min="1478" max="1479" width="12.42578125" customWidth="1"/>
    <col min="1480" max="1480" width="11.42578125" customWidth="1"/>
    <col min="1481" max="1482" width="8.42578125" customWidth="1"/>
    <col min="1483" max="1483" width="17.42578125" customWidth="1"/>
    <col min="1484" max="1484" width="12.42578125" customWidth="1"/>
    <col min="1485" max="1486" width="8.42578125" customWidth="1"/>
    <col min="1487" max="1487" width="44" customWidth="1"/>
    <col min="1489" max="1489" width="7.42578125" customWidth="1"/>
    <col min="1490" max="1490" width="11.42578125" customWidth="1"/>
    <col min="1491" max="1492" width="12.42578125" customWidth="1"/>
    <col min="1493" max="1493" width="11.42578125" customWidth="1"/>
    <col min="1494" max="1495" width="8.42578125" customWidth="1"/>
    <col min="1496" max="1496" width="17.42578125" customWidth="1"/>
    <col min="1497" max="1497" width="12.42578125" customWidth="1"/>
    <col min="1498" max="1499" width="8.42578125" customWidth="1"/>
    <col min="1500" max="1500" width="44" customWidth="1"/>
    <col min="1503" max="1503" width="7.42578125" customWidth="1"/>
    <col min="1504" max="1504" width="11.42578125" customWidth="1"/>
    <col min="1505" max="1506" width="12.42578125" customWidth="1"/>
    <col min="1507" max="1507" width="11.42578125" customWidth="1"/>
    <col min="1508" max="1509" width="8.42578125" customWidth="1"/>
    <col min="1510" max="1510" width="17.42578125" customWidth="1"/>
    <col min="1511" max="1511" width="12.42578125" customWidth="1"/>
    <col min="1512" max="1513" width="8.42578125" customWidth="1"/>
    <col min="1514" max="1514" width="43.42578125" customWidth="1"/>
    <col min="1516" max="1516" width="7.42578125" customWidth="1"/>
    <col min="1517" max="1517" width="11.42578125" customWidth="1"/>
    <col min="1518" max="1519" width="12.42578125" customWidth="1"/>
    <col min="1520" max="1520" width="11.42578125" customWidth="1"/>
    <col min="1521" max="1521" width="8.42578125" customWidth="1"/>
    <col min="1522" max="1522" width="8.42578125" bestFit="1" customWidth="1"/>
    <col min="1523" max="1523" width="17.42578125" bestFit="1" customWidth="1"/>
    <col min="1524" max="1524" width="12.42578125" bestFit="1" customWidth="1"/>
    <col min="1525" max="1526" width="8.42578125" customWidth="1"/>
    <col min="1527" max="1527" width="44" customWidth="1"/>
    <col min="1713" max="1713" width="22.42578125" bestFit="1" customWidth="1"/>
    <col min="1714" max="1714" width="8.42578125" customWidth="1"/>
    <col min="1715" max="1715" width="29.42578125" customWidth="1"/>
    <col min="1716" max="1716" width="7" customWidth="1"/>
    <col min="1717" max="1717" width="22.42578125" bestFit="1" customWidth="1"/>
    <col min="1718" max="1718" width="62.42578125" customWidth="1"/>
    <col min="1719" max="1719" width="2.42578125" customWidth="1"/>
    <col min="1720" max="1720" width="7" customWidth="1"/>
    <col min="1721" max="1721" width="11.42578125" customWidth="1"/>
    <col min="1722" max="1723" width="12.42578125" customWidth="1"/>
    <col min="1724" max="1726" width="8.42578125" customWidth="1"/>
    <col min="1727" max="1727" width="12.42578125" customWidth="1"/>
    <col min="1728" max="1729" width="8.42578125" customWidth="1"/>
    <col min="1730" max="1730" width="44" customWidth="1"/>
    <col min="1731" max="1731" width="10.42578125" customWidth="1"/>
    <col min="1732" max="1732" width="7.42578125" customWidth="1"/>
    <col min="1733" max="1733" width="11.42578125" customWidth="1"/>
    <col min="1734" max="1735" width="12.42578125" customWidth="1"/>
    <col min="1736" max="1736" width="11.42578125" customWidth="1"/>
    <col min="1737" max="1738" width="8.42578125" customWidth="1"/>
    <col min="1739" max="1739" width="17.42578125" customWidth="1"/>
    <col min="1740" max="1740" width="12.42578125" customWidth="1"/>
    <col min="1741" max="1742" width="8.42578125" customWidth="1"/>
    <col min="1743" max="1743" width="44" customWidth="1"/>
    <col min="1745" max="1745" width="7.42578125" customWidth="1"/>
    <col min="1746" max="1746" width="11.42578125" customWidth="1"/>
    <col min="1747" max="1748" width="12.42578125" customWidth="1"/>
    <col min="1749" max="1749" width="11.42578125" customWidth="1"/>
    <col min="1750" max="1751" width="8.42578125" customWidth="1"/>
    <col min="1752" max="1752" width="17.42578125" customWidth="1"/>
    <col min="1753" max="1753" width="12.42578125" customWidth="1"/>
    <col min="1754" max="1755" width="8.42578125" customWidth="1"/>
    <col min="1756" max="1756" width="44" customWidth="1"/>
    <col min="1759" max="1759" width="7.42578125" customWidth="1"/>
    <col min="1760" max="1760" width="11.42578125" customWidth="1"/>
    <col min="1761" max="1762" width="12.42578125" customWidth="1"/>
    <col min="1763" max="1763" width="11.42578125" customWidth="1"/>
    <col min="1764" max="1765" width="8.42578125" customWidth="1"/>
    <col min="1766" max="1766" width="17.42578125" customWidth="1"/>
    <col min="1767" max="1767" width="12.42578125" customWidth="1"/>
    <col min="1768" max="1769" width="8.42578125" customWidth="1"/>
    <col min="1770" max="1770" width="43.42578125" customWidth="1"/>
    <col min="1772" max="1772" width="7.42578125" customWidth="1"/>
    <col min="1773" max="1773" width="11.42578125" customWidth="1"/>
    <col min="1774" max="1775" width="12.42578125" customWidth="1"/>
    <col min="1776" max="1776" width="11.42578125" customWidth="1"/>
    <col min="1777" max="1777" width="8.42578125" customWidth="1"/>
    <col min="1778" max="1778" width="8.42578125" bestFit="1" customWidth="1"/>
    <col min="1779" max="1779" width="17.42578125" bestFit="1" customWidth="1"/>
    <col min="1780" max="1780" width="12.42578125" bestFit="1" customWidth="1"/>
    <col min="1781" max="1782" width="8.42578125" customWidth="1"/>
    <col min="1783" max="1783" width="44" customWidth="1"/>
    <col min="1969" max="1969" width="22.42578125" bestFit="1" customWidth="1"/>
    <col min="1970" max="1970" width="8.42578125" customWidth="1"/>
    <col min="1971" max="1971" width="29.42578125" customWidth="1"/>
    <col min="1972" max="1972" width="7" customWidth="1"/>
    <col min="1973" max="1973" width="22.42578125" bestFit="1" customWidth="1"/>
    <col min="1974" max="1974" width="62.42578125" customWidth="1"/>
    <col min="1975" max="1975" width="2.42578125" customWidth="1"/>
    <col min="1976" max="1976" width="7" customWidth="1"/>
    <col min="1977" max="1977" width="11.42578125" customWidth="1"/>
    <col min="1978" max="1979" width="12.42578125" customWidth="1"/>
    <col min="1980" max="1982" width="8.42578125" customWidth="1"/>
    <col min="1983" max="1983" width="12.42578125" customWidth="1"/>
    <col min="1984" max="1985" width="8.42578125" customWidth="1"/>
    <col min="1986" max="1986" width="44" customWidth="1"/>
    <col min="1987" max="1987" width="10.42578125" customWidth="1"/>
    <col min="1988" max="1988" width="7.42578125" customWidth="1"/>
    <col min="1989" max="1989" width="11.42578125" customWidth="1"/>
    <col min="1990" max="1991" width="12.42578125" customWidth="1"/>
    <col min="1992" max="1992" width="11.42578125" customWidth="1"/>
    <col min="1993" max="1994" width="8.42578125" customWidth="1"/>
    <col min="1995" max="1995" width="17.42578125" customWidth="1"/>
    <col min="1996" max="1996" width="12.42578125" customWidth="1"/>
    <col min="1997" max="1998" width="8.42578125" customWidth="1"/>
    <col min="1999" max="1999" width="44" customWidth="1"/>
    <col min="2001" max="2001" width="7.42578125" customWidth="1"/>
    <col min="2002" max="2002" width="11.42578125" customWidth="1"/>
    <col min="2003" max="2004" width="12.42578125" customWidth="1"/>
    <col min="2005" max="2005" width="11.42578125" customWidth="1"/>
    <col min="2006" max="2007" width="8.42578125" customWidth="1"/>
    <col min="2008" max="2008" width="17.42578125" customWidth="1"/>
    <col min="2009" max="2009" width="12.42578125" customWidth="1"/>
    <col min="2010" max="2011" width="8.42578125" customWidth="1"/>
    <col min="2012" max="2012" width="44" customWidth="1"/>
    <col min="2015" max="2015" width="7.42578125" customWidth="1"/>
    <col min="2016" max="2016" width="11.42578125" customWidth="1"/>
    <col min="2017" max="2018" width="12.42578125" customWidth="1"/>
    <col min="2019" max="2019" width="11.42578125" customWidth="1"/>
    <col min="2020" max="2021" width="8.42578125" customWidth="1"/>
    <col min="2022" max="2022" width="17.42578125" customWidth="1"/>
    <col min="2023" max="2023" width="12.42578125" customWidth="1"/>
    <col min="2024" max="2025" width="8.42578125" customWidth="1"/>
    <col min="2026" max="2026" width="43.42578125" customWidth="1"/>
    <col min="2028" max="2028" width="7.42578125" customWidth="1"/>
    <col min="2029" max="2029" width="11.42578125" customWidth="1"/>
    <col min="2030" max="2031" width="12.42578125" customWidth="1"/>
    <col min="2032" max="2032" width="11.42578125" customWidth="1"/>
    <col min="2033" max="2033" width="8.42578125" customWidth="1"/>
    <col min="2034" max="2034" width="8.42578125" bestFit="1" customWidth="1"/>
    <col min="2035" max="2035" width="17.42578125" bestFit="1" customWidth="1"/>
    <col min="2036" max="2036" width="12.42578125" bestFit="1" customWidth="1"/>
    <col min="2037" max="2038" width="8.42578125" customWidth="1"/>
    <col min="2039" max="2039" width="44" customWidth="1"/>
    <col min="2225" max="2225" width="22.42578125" bestFit="1" customWidth="1"/>
    <col min="2226" max="2226" width="8.42578125" customWidth="1"/>
    <col min="2227" max="2227" width="29.42578125" customWidth="1"/>
    <col min="2228" max="2228" width="7" customWidth="1"/>
    <col min="2229" max="2229" width="22.42578125" bestFit="1" customWidth="1"/>
    <col min="2230" max="2230" width="62.42578125" customWidth="1"/>
    <col min="2231" max="2231" width="2.42578125" customWidth="1"/>
    <col min="2232" max="2232" width="7" customWidth="1"/>
    <col min="2233" max="2233" width="11.42578125" customWidth="1"/>
    <col min="2234" max="2235" width="12.42578125" customWidth="1"/>
    <col min="2236" max="2238" width="8.42578125" customWidth="1"/>
    <col min="2239" max="2239" width="12.42578125" customWidth="1"/>
    <col min="2240" max="2241" width="8.42578125" customWidth="1"/>
    <col min="2242" max="2242" width="44" customWidth="1"/>
    <col min="2243" max="2243" width="10.42578125" customWidth="1"/>
    <col min="2244" max="2244" width="7.42578125" customWidth="1"/>
    <col min="2245" max="2245" width="11.42578125" customWidth="1"/>
    <col min="2246" max="2247" width="12.42578125" customWidth="1"/>
    <col min="2248" max="2248" width="11.42578125" customWidth="1"/>
    <col min="2249" max="2250" width="8.42578125" customWidth="1"/>
    <col min="2251" max="2251" width="17.42578125" customWidth="1"/>
    <col min="2252" max="2252" width="12.42578125" customWidth="1"/>
    <col min="2253" max="2254" width="8.42578125" customWidth="1"/>
    <col min="2255" max="2255" width="44" customWidth="1"/>
    <col min="2257" max="2257" width="7.42578125" customWidth="1"/>
    <col min="2258" max="2258" width="11.42578125" customWidth="1"/>
    <col min="2259" max="2260" width="12.42578125" customWidth="1"/>
    <col min="2261" max="2261" width="11.42578125" customWidth="1"/>
    <col min="2262" max="2263" width="8.42578125" customWidth="1"/>
    <col min="2264" max="2264" width="17.42578125" customWidth="1"/>
    <col min="2265" max="2265" width="12.42578125" customWidth="1"/>
    <col min="2266" max="2267" width="8.42578125" customWidth="1"/>
    <col min="2268" max="2268" width="44" customWidth="1"/>
    <col min="2271" max="2271" width="7.42578125" customWidth="1"/>
    <col min="2272" max="2272" width="11.42578125" customWidth="1"/>
    <col min="2273" max="2274" width="12.42578125" customWidth="1"/>
    <col min="2275" max="2275" width="11.42578125" customWidth="1"/>
    <col min="2276" max="2277" width="8.42578125" customWidth="1"/>
    <col min="2278" max="2278" width="17.42578125" customWidth="1"/>
    <col min="2279" max="2279" width="12.42578125" customWidth="1"/>
    <col min="2280" max="2281" width="8.42578125" customWidth="1"/>
    <col min="2282" max="2282" width="43.42578125" customWidth="1"/>
    <col min="2284" max="2284" width="7.42578125" customWidth="1"/>
    <col min="2285" max="2285" width="11.42578125" customWidth="1"/>
    <col min="2286" max="2287" width="12.42578125" customWidth="1"/>
    <col min="2288" max="2288" width="11.42578125" customWidth="1"/>
    <col min="2289" max="2289" width="8.42578125" customWidth="1"/>
    <col min="2290" max="2290" width="8.42578125" bestFit="1" customWidth="1"/>
    <col min="2291" max="2291" width="17.42578125" bestFit="1" customWidth="1"/>
    <col min="2292" max="2292" width="12.42578125" bestFit="1" customWidth="1"/>
    <col min="2293" max="2294" width="8.42578125" customWidth="1"/>
    <col min="2295" max="2295" width="44" customWidth="1"/>
    <col min="2481" max="2481" width="22.42578125" bestFit="1" customWidth="1"/>
    <col min="2482" max="2482" width="8.42578125" customWidth="1"/>
    <col min="2483" max="2483" width="29.42578125" customWidth="1"/>
    <col min="2484" max="2484" width="7" customWidth="1"/>
    <col min="2485" max="2485" width="22.42578125" bestFit="1" customWidth="1"/>
    <col min="2486" max="2486" width="62.42578125" customWidth="1"/>
    <col min="2487" max="2487" width="2.42578125" customWidth="1"/>
    <col min="2488" max="2488" width="7" customWidth="1"/>
    <col min="2489" max="2489" width="11.42578125" customWidth="1"/>
    <col min="2490" max="2491" width="12.42578125" customWidth="1"/>
    <col min="2492" max="2494" width="8.42578125" customWidth="1"/>
    <col min="2495" max="2495" width="12.42578125" customWidth="1"/>
    <col min="2496" max="2497" width="8.42578125" customWidth="1"/>
    <col min="2498" max="2498" width="44" customWidth="1"/>
    <col min="2499" max="2499" width="10.42578125" customWidth="1"/>
    <col min="2500" max="2500" width="7.42578125" customWidth="1"/>
    <col min="2501" max="2501" width="11.42578125" customWidth="1"/>
    <col min="2502" max="2503" width="12.42578125" customWidth="1"/>
    <col min="2504" max="2504" width="11.42578125" customWidth="1"/>
    <col min="2505" max="2506" width="8.42578125" customWidth="1"/>
    <col min="2507" max="2507" width="17.42578125" customWidth="1"/>
    <col min="2508" max="2508" width="12.42578125" customWidth="1"/>
    <col min="2509" max="2510" width="8.42578125" customWidth="1"/>
    <col min="2511" max="2511" width="44" customWidth="1"/>
    <col min="2513" max="2513" width="7.42578125" customWidth="1"/>
    <col min="2514" max="2514" width="11.42578125" customWidth="1"/>
    <col min="2515" max="2516" width="12.42578125" customWidth="1"/>
    <col min="2517" max="2517" width="11.42578125" customWidth="1"/>
    <col min="2518" max="2519" width="8.42578125" customWidth="1"/>
    <col min="2520" max="2520" width="17.42578125" customWidth="1"/>
    <col min="2521" max="2521" width="12.42578125" customWidth="1"/>
    <col min="2522" max="2523" width="8.42578125" customWidth="1"/>
    <col min="2524" max="2524" width="44" customWidth="1"/>
    <col min="2527" max="2527" width="7.42578125" customWidth="1"/>
    <col min="2528" max="2528" width="11.42578125" customWidth="1"/>
    <col min="2529" max="2530" width="12.42578125" customWidth="1"/>
    <col min="2531" max="2531" width="11.42578125" customWidth="1"/>
    <col min="2532" max="2533" width="8.42578125" customWidth="1"/>
    <col min="2534" max="2534" width="17.42578125" customWidth="1"/>
    <col min="2535" max="2535" width="12.42578125" customWidth="1"/>
    <col min="2536" max="2537" width="8.42578125" customWidth="1"/>
    <col min="2538" max="2538" width="43.42578125" customWidth="1"/>
    <col min="2540" max="2540" width="7.42578125" customWidth="1"/>
    <col min="2541" max="2541" width="11.42578125" customWidth="1"/>
    <col min="2542" max="2543" width="12.42578125" customWidth="1"/>
    <col min="2544" max="2544" width="11.42578125" customWidth="1"/>
    <col min="2545" max="2545" width="8.42578125" customWidth="1"/>
    <col min="2546" max="2546" width="8.42578125" bestFit="1" customWidth="1"/>
    <col min="2547" max="2547" width="17.42578125" bestFit="1" customWidth="1"/>
    <col min="2548" max="2548" width="12.42578125" bestFit="1" customWidth="1"/>
    <col min="2549" max="2550" width="8.42578125" customWidth="1"/>
    <col min="2551" max="2551" width="44" customWidth="1"/>
    <col min="2737" max="2737" width="22.42578125" bestFit="1" customWidth="1"/>
    <col min="2738" max="2738" width="8.42578125" customWidth="1"/>
    <col min="2739" max="2739" width="29.42578125" customWidth="1"/>
    <col min="2740" max="2740" width="7" customWidth="1"/>
    <col min="2741" max="2741" width="22.42578125" bestFit="1" customWidth="1"/>
    <col min="2742" max="2742" width="62.42578125" customWidth="1"/>
    <col min="2743" max="2743" width="2.42578125" customWidth="1"/>
    <col min="2744" max="2744" width="7" customWidth="1"/>
    <col min="2745" max="2745" width="11.42578125" customWidth="1"/>
    <col min="2746" max="2747" width="12.42578125" customWidth="1"/>
    <col min="2748" max="2750" width="8.42578125" customWidth="1"/>
    <col min="2751" max="2751" width="12.42578125" customWidth="1"/>
    <col min="2752" max="2753" width="8.42578125" customWidth="1"/>
    <col min="2754" max="2754" width="44" customWidth="1"/>
    <col min="2755" max="2755" width="10.42578125" customWidth="1"/>
    <col min="2756" max="2756" width="7.42578125" customWidth="1"/>
    <col min="2757" max="2757" width="11.42578125" customWidth="1"/>
    <col min="2758" max="2759" width="12.42578125" customWidth="1"/>
    <col min="2760" max="2760" width="11.42578125" customWidth="1"/>
    <col min="2761" max="2762" width="8.42578125" customWidth="1"/>
    <col min="2763" max="2763" width="17.42578125" customWidth="1"/>
    <col min="2764" max="2764" width="12.42578125" customWidth="1"/>
    <col min="2765" max="2766" width="8.42578125" customWidth="1"/>
    <col min="2767" max="2767" width="44" customWidth="1"/>
    <col min="2769" max="2769" width="7.42578125" customWidth="1"/>
    <col min="2770" max="2770" width="11.42578125" customWidth="1"/>
    <col min="2771" max="2772" width="12.42578125" customWidth="1"/>
    <col min="2773" max="2773" width="11.42578125" customWidth="1"/>
    <col min="2774" max="2775" width="8.42578125" customWidth="1"/>
    <col min="2776" max="2776" width="17.42578125" customWidth="1"/>
    <col min="2777" max="2777" width="12.42578125" customWidth="1"/>
    <col min="2778" max="2779" width="8.42578125" customWidth="1"/>
    <col min="2780" max="2780" width="44" customWidth="1"/>
    <col min="2783" max="2783" width="7.42578125" customWidth="1"/>
    <col min="2784" max="2784" width="11.42578125" customWidth="1"/>
    <col min="2785" max="2786" width="12.42578125" customWidth="1"/>
    <col min="2787" max="2787" width="11.42578125" customWidth="1"/>
    <col min="2788" max="2789" width="8.42578125" customWidth="1"/>
    <col min="2790" max="2790" width="17.42578125" customWidth="1"/>
    <col min="2791" max="2791" width="12.42578125" customWidth="1"/>
    <col min="2792" max="2793" width="8.42578125" customWidth="1"/>
    <col min="2794" max="2794" width="43.42578125" customWidth="1"/>
    <col min="2796" max="2796" width="7.42578125" customWidth="1"/>
    <col min="2797" max="2797" width="11.42578125" customWidth="1"/>
    <col min="2798" max="2799" width="12.42578125" customWidth="1"/>
    <col min="2800" max="2800" width="11.42578125" customWidth="1"/>
    <col min="2801" max="2801" width="8.42578125" customWidth="1"/>
    <col min="2802" max="2802" width="8.42578125" bestFit="1" customWidth="1"/>
    <col min="2803" max="2803" width="17.42578125" bestFit="1" customWidth="1"/>
    <col min="2804" max="2804" width="12.42578125" bestFit="1" customWidth="1"/>
    <col min="2805" max="2806" width="8.42578125" customWidth="1"/>
    <col min="2807" max="2807" width="44" customWidth="1"/>
    <col min="2993" max="2993" width="22.42578125" bestFit="1" customWidth="1"/>
    <col min="2994" max="2994" width="8.42578125" customWidth="1"/>
    <col min="2995" max="2995" width="29.42578125" customWidth="1"/>
    <col min="2996" max="2996" width="7" customWidth="1"/>
    <col min="2997" max="2997" width="22.42578125" bestFit="1" customWidth="1"/>
    <col min="2998" max="2998" width="62.42578125" customWidth="1"/>
    <col min="2999" max="2999" width="2.42578125" customWidth="1"/>
    <col min="3000" max="3000" width="7" customWidth="1"/>
    <col min="3001" max="3001" width="11.42578125" customWidth="1"/>
    <col min="3002" max="3003" width="12.42578125" customWidth="1"/>
    <col min="3004" max="3006" width="8.42578125" customWidth="1"/>
    <col min="3007" max="3007" width="12.42578125" customWidth="1"/>
    <col min="3008" max="3009" width="8.42578125" customWidth="1"/>
    <col min="3010" max="3010" width="44" customWidth="1"/>
    <col min="3011" max="3011" width="10.42578125" customWidth="1"/>
    <col min="3012" max="3012" width="7.42578125" customWidth="1"/>
    <col min="3013" max="3013" width="11.42578125" customWidth="1"/>
    <col min="3014" max="3015" width="12.42578125" customWidth="1"/>
    <col min="3016" max="3016" width="11.42578125" customWidth="1"/>
    <col min="3017" max="3018" width="8.42578125" customWidth="1"/>
    <col min="3019" max="3019" width="17.42578125" customWidth="1"/>
    <col min="3020" max="3020" width="12.42578125" customWidth="1"/>
    <col min="3021" max="3022" width="8.42578125" customWidth="1"/>
    <col min="3023" max="3023" width="44" customWidth="1"/>
    <col min="3025" max="3025" width="7.42578125" customWidth="1"/>
    <col min="3026" max="3026" width="11.42578125" customWidth="1"/>
    <col min="3027" max="3028" width="12.42578125" customWidth="1"/>
    <col min="3029" max="3029" width="11.42578125" customWidth="1"/>
    <col min="3030" max="3031" width="8.42578125" customWidth="1"/>
    <col min="3032" max="3032" width="17.42578125" customWidth="1"/>
    <col min="3033" max="3033" width="12.42578125" customWidth="1"/>
    <col min="3034" max="3035" width="8.42578125" customWidth="1"/>
    <col min="3036" max="3036" width="44" customWidth="1"/>
    <col min="3039" max="3039" width="7.42578125" customWidth="1"/>
    <col min="3040" max="3040" width="11.42578125" customWidth="1"/>
    <col min="3041" max="3042" width="12.42578125" customWidth="1"/>
    <col min="3043" max="3043" width="11.42578125" customWidth="1"/>
    <col min="3044" max="3045" width="8.42578125" customWidth="1"/>
    <col min="3046" max="3046" width="17.42578125" customWidth="1"/>
    <col min="3047" max="3047" width="12.42578125" customWidth="1"/>
    <col min="3048" max="3049" width="8.42578125" customWidth="1"/>
    <col min="3050" max="3050" width="43.42578125" customWidth="1"/>
    <col min="3052" max="3052" width="7.42578125" customWidth="1"/>
    <col min="3053" max="3053" width="11.42578125" customWidth="1"/>
    <col min="3054" max="3055" width="12.42578125" customWidth="1"/>
    <col min="3056" max="3056" width="11.42578125" customWidth="1"/>
    <col min="3057" max="3057" width="8.42578125" customWidth="1"/>
    <col min="3058" max="3058" width="8.42578125" bestFit="1" customWidth="1"/>
    <col min="3059" max="3059" width="17.42578125" bestFit="1" customWidth="1"/>
    <col min="3060" max="3060" width="12.42578125" bestFit="1" customWidth="1"/>
    <col min="3061" max="3062" width="8.42578125" customWidth="1"/>
    <col min="3063" max="3063" width="44" customWidth="1"/>
    <col min="3249" max="3249" width="22.42578125" bestFit="1" customWidth="1"/>
    <col min="3250" max="3250" width="8.42578125" customWidth="1"/>
    <col min="3251" max="3251" width="29.42578125" customWidth="1"/>
    <col min="3252" max="3252" width="7" customWidth="1"/>
    <col min="3253" max="3253" width="22.42578125" bestFit="1" customWidth="1"/>
    <col min="3254" max="3254" width="62.42578125" customWidth="1"/>
    <col min="3255" max="3255" width="2.42578125" customWidth="1"/>
    <col min="3256" max="3256" width="7" customWidth="1"/>
    <col min="3257" max="3257" width="11.42578125" customWidth="1"/>
    <col min="3258" max="3259" width="12.42578125" customWidth="1"/>
    <col min="3260" max="3262" width="8.42578125" customWidth="1"/>
    <col min="3263" max="3263" width="12.42578125" customWidth="1"/>
    <col min="3264" max="3265" width="8.42578125" customWidth="1"/>
    <col min="3266" max="3266" width="44" customWidth="1"/>
    <col min="3267" max="3267" width="10.42578125" customWidth="1"/>
    <col min="3268" max="3268" width="7.42578125" customWidth="1"/>
    <col min="3269" max="3269" width="11.42578125" customWidth="1"/>
    <col min="3270" max="3271" width="12.42578125" customWidth="1"/>
    <col min="3272" max="3272" width="11.42578125" customWidth="1"/>
    <col min="3273" max="3274" width="8.42578125" customWidth="1"/>
    <col min="3275" max="3275" width="17.42578125" customWidth="1"/>
    <col min="3276" max="3276" width="12.42578125" customWidth="1"/>
    <col min="3277" max="3278" width="8.42578125" customWidth="1"/>
    <col min="3279" max="3279" width="44" customWidth="1"/>
    <col min="3281" max="3281" width="7.42578125" customWidth="1"/>
    <col min="3282" max="3282" width="11.42578125" customWidth="1"/>
    <col min="3283" max="3284" width="12.42578125" customWidth="1"/>
    <col min="3285" max="3285" width="11.42578125" customWidth="1"/>
    <col min="3286" max="3287" width="8.42578125" customWidth="1"/>
    <col min="3288" max="3288" width="17.42578125" customWidth="1"/>
    <col min="3289" max="3289" width="12.42578125" customWidth="1"/>
    <col min="3290" max="3291" width="8.42578125" customWidth="1"/>
    <col min="3292" max="3292" width="44" customWidth="1"/>
    <col min="3295" max="3295" width="7.42578125" customWidth="1"/>
    <col min="3296" max="3296" width="11.42578125" customWidth="1"/>
    <col min="3297" max="3298" width="12.42578125" customWidth="1"/>
    <col min="3299" max="3299" width="11.42578125" customWidth="1"/>
    <col min="3300" max="3301" width="8.42578125" customWidth="1"/>
    <col min="3302" max="3302" width="17.42578125" customWidth="1"/>
    <col min="3303" max="3303" width="12.42578125" customWidth="1"/>
    <col min="3304" max="3305" width="8.42578125" customWidth="1"/>
    <col min="3306" max="3306" width="43.42578125" customWidth="1"/>
    <col min="3308" max="3308" width="7.42578125" customWidth="1"/>
    <col min="3309" max="3309" width="11.42578125" customWidth="1"/>
    <col min="3310" max="3311" width="12.42578125" customWidth="1"/>
    <col min="3312" max="3312" width="11.42578125" customWidth="1"/>
    <col min="3313" max="3313" width="8.42578125" customWidth="1"/>
    <col min="3314" max="3314" width="8.42578125" bestFit="1" customWidth="1"/>
    <col min="3315" max="3315" width="17.42578125" bestFit="1" customWidth="1"/>
    <col min="3316" max="3316" width="12.42578125" bestFit="1" customWidth="1"/>
    <col min="3317" max="3318" width="8.42578125" customWidth="1"/>
    <col min="3319" max="3319" width="44" customWidth="1"/>
    <col min="3505" max="3505" width="22.42578125" bestFit="1" customWidth="1"/>
    <col min="3506" max="3506" width="8.42578125" customWidth="1"/>
    <col min="3507" max="3507" width="29.42578125" customWidth="1"/>
    <col min="3508" max="3508" width="7" customWidth="1"/>
    <col min="3509" max="3509" width="22.42578125" bestFit="1" customWidth="1"/>
    <col min="3510" max="3510" width="62.42578125" customWidth="1"/>
    <col min="3511" max="3511" width="2.42578125" customWidth="1"/>
    <col min="3512" max="3512" width="7" customWidth="1"/>
    <col min="3513" max="3513" width="11.42578125" customWidth="1"/>
    <col min="3514" max="3515" width="12.42578125" customWidth="1"/>
    <col min="3516" max="3518" width="8.42578125" customWidth="1"/>
    <col min="3519" max="3519" width="12.42578125" customWidth="1"/>
    <col min="3520" max="3521" width="8.42578125" customWidth="1"/>
    <col min="3522" max="3522" width="44" customWidth="1"/>
    <col min="3523" max="3523" width="10.42578125" customWidth="1"/>
    <col min="3524" max="3524" width="7.42578125" customWidth="1"/>
    <col min="3525" max="3525" width="11.42578125" customWidth="1"/>
    <col min="3526" max="3527" width="12.42578125" customWidth="1"/>
    <col min="3528" max="3528" width="11.42578125" customWidth="1"/>
    <col min="3529" max="3530" width="8.42578125" customWidth="1"/>
    <col min="3531" max="3531" width="17.42578125" customWidth="1"/>
    <col min="3532" max="3532" width="12.42578125" customWidth="1"/>
    <col min="3533" max="3534" width="8.42578125" customWidth="1"/>
    <col min="3535" max="3535" width="44" customWidth="1"/>
    <col min="3537" max="3537" width="7.42578125" customWidth="1"/>
    <col min="3538" max="3538" width="11.42578125" customWidth="1"/>
    <col min="3539" max="3540" width="12.42578125" customWidth="1"/>
    <col min="3541" max="3541" width="11.42578125" customWidth="1"/>
    <col min="3542" max="3543" width="8.42578125" customWidth="1"/>
    <col min="3544" max="3544" width="17.42578125" customWidth="1"/>
    <col min="3545" max="3545" width="12.42578125" customWidth="1"/>
    <col min="3546" max="3547" width="8.42578125" customWidth="1"/>
    <col min="3548" max="3548" width="44" customWidth="1"/>
    <col min="3551" max="3551" width="7.42578125" customWidth="1"/>
    <col min="3552" max="3552" width="11.42578125" customWidth="1"/>
    <col min="3553" max="3554" width="12.42578125" customWidth="1"/>
    <col min="3555" max="3555" width="11.42578125" customWidth="1"/>
    <col min="3556" max="3557" width="8.42578125" customWidth="1"/>
    <col min="3558" max="3558" width="17.42578125" customWidth="1"/>
    <col min="3559" max="3559" width="12.42578125" customWidth="1"/>
    <col min="3560" max="3561" width="8.42578125" customWidth="1"/>
    <col min="3562" max="3562" width="43.42578125" customWidth="1"/>
    <col min="3564" max="3564" width="7.42578125" customWidth="1"/>
    <col min="3565" max="3565" width="11.42578125" customWidth="1"/>
    <col min="3566" max="3567" width="12.42578125" customWidth="1"/>
    <col min="3568" max="3568" width="11.42578125" customWidth="1"/>
    <col min="3569" max="3569" width="8.42578125" customWidth="1"/>
    <col min="3570" max="3570" width="8.42578125" bestFit="1" customWidth="1"/>
    <col min="3571" max="3571" width="17.42578125" bestFit="1" customWidth="1"/>
    <col min="3572" max="3572" width="12.42578125" bestFit="1" customWidth="1"/>
    <col min="3573" max="3574" width="8.42578125" customWidth="1"/>
    <col min="3575" max="3575" width="44" customWidth="1"/>
    <col min="3761" max="3761" width="22.42578125" bestFit="1" customWidth="1"/>
    <col min="3762" max="3762" width="8.42578125" customWidth="1"/>
    <col min="3763" max="3763" width="29.42578125" customWidth="1"/>
    <col min="3764" max="3764" width="7" customWidth="1"/>
    <col min="3765" max="3765" width="22.42578125" bestFit="1" customWidth="1"/>
    <col min="3766" max="3766" width="62.42578125" customWidth="1"/>
    <col min="3767" max="3767" width="2.42578125" customWidth="1"/>
    <col min="3768" max="3768" width="7" customWidth="1"/>
    <col min="3769" max="3769" width="11.42578125" customWidth="1"/>
    <col min="3770" max="3771" width="12.42578125" customWidth="1"/>
    <col min="3772" max="3774" width="8.42578125" customWidth="1"/>
    <col min="3775" max="3775" width="12.42578125" customWidth="1"/>
    <col min="3776" max="3777" width="8.42578125" customWidth="1"/>
    <col min="3778" max="3778" width="44" customWidth="1"/>
    <col min="3779" max="3779" width="10.42578125" customWidth="1"/>
    <col min="3780" max="3780" width="7.42578125" customWidth="1"/>
    <col min="3781" max="3781" width="11.42578125" customWidth="1"/>
    <col min="3782" max="3783" width="12.42578125" customWidth="1"/>
    <col min="3784" max="3784" width="11.42578125" customWidth="1"/>
    <col min="3785" max="3786" width="8.42578125" customWidth="1"/>
    <col min="3787" max="3787" width="17.42578125" customWidth="1"/>
    <col min="3788" max="3788" width="12.42578125" customWidth="1"/>
    <col min="3789" max="3790" width="8.42578125" customWidth="1"/>
    <col min="3791" max="3791" width="44" customWidth="1"/>
    <col min="3793" max="3793" width="7.42578125" customWidth="1"/>
    <col min="3794" max="3794" width="11.42578125" customWidth="1"/>
    <col min="3795" max="3796" width="12.42578125" customWidth="1"/>
    <col min="3797" max="3797" width="11.42578125" customWidth="1"/>
    <col min="3798" max="3799" width="8.42578125" customWidth="1"/>
    <col min="3800" max="3800" width="17.42578125" customWidth="1"/>
    <col min="3801" max="3801" width="12.42578125" customWidth="1"/>
    <col min="3802" max="3803" width="8.42578125" customWidth="1"/>
    <col min="3804" max="3804" width="44" customWidth="1"/>
    <col min="3807" max="3807" width="7.42578125" customWidth="1"/>
    <col min="3808" max="3808" width="11.42578125" customWidth="1"/>
    <col min="3809" max="3810" width="12.42578125" customWidth="1"/>
    <col min="3811" max="3811" width="11.42578125" customWidth="1"/>
    <col min="3812" max="3813" width="8.42578125" customWidth="1"/>
    <col min="3814" max="3814" width="17.42578125" customWidth="1"/>
    <col min="3815" max="3815" width="12.42578125" customWidth="1"/>
    <col min="3816" max="3817" width="8.42578125" customWidth="1"/>
    <col min="3818" max="3818" width="43.42578125" customWidth="1"/>
    <col min="3820" max="3820" width="7.42578125" customWidth="1"/>
    <col min="3821" max="3821" width="11.42578125" customWidth="1"/>
    <col min="3822" max="3823" width="12.42578125" customWidth="1"/>
    <col min="3824" max="3824" width="11.42578125" customWidth="1"/>
    <col min="3825" max="3825" width="8.42578125" customWidth="1"/>
    <col min="3826" max="3826" width="8.42578125" bestFit="1" customWidth="1"/>
    <col min="3827" max="3827" width="17.42578125" bestFit="1" customWidth="1"/>
    <col min="3828" max="3828" width="12.42578125" bestFit="1" customWidth="1"/>
    <col min="3829" max="3830" width="8.42578125" customWidth="1"/>
    <col min="3831" max="3831" width="44" customWidth="1"/>
    <col min="4017" max="4017" width="22.42578125" bestFit="1" customWidth="1"/>
    <col min="4018" max="4018" width="8.42578125" customWidth="1"/>
    <col min="4019" max="4019" width="29.42578125" customWidth="1"/>
    <col min="4020" max="4020" width="7" customWidth="1"/>
    <col min="4021" max="4021" width="22.42578125" bestFit="1" customWidth="1"/>
    <col min="4022" max="4022" width="62.42578125" customWidth="1"/>
    <col min="4023" max="4023" width="2.42578125" customWidth="1"/>
    <col min="4024" max="4024" width="7" customWidth="1"/>
    <col min="4025" max="4025" width="11.42578125" customWidth="1"/>
    <col min="4026" max="4027" width="12.42578125" customWidth="1"/>
    <col min="4028" max="4030" width="8.42578125" customWidth="1"/>
    <col min="4031" max="4031" width="12.42578125" customWidth="1"/>
    <col min="4032" max="4033" width="8.42578125" customWidth="1"/>
    <col min="4034" max="4034" width="44" customWidth="1"/>
    <col min="4035" max="4035" width="10.42578125" customWidth="1"/>
    <col min="4036" max="4036" width="7.42578125" customWidth="1"/>
    <col min="4037" max="4037" width="11.42578125" customWidth="1"/>
    <col min="4038" max="4039" width="12.42578125" customWidth="1"/>
    <col min="4040" max="4040" width="11.42578125" customWidth="1"/>
    <col min="4041" max="4042" width="8.42578125" customWidth="1"/>
    <col min="4043" max="4043" width="17.42578125" customWidth="1"/>
    <col min="4044" max="4044" width="12.42578125" customWidth="1"/>
    <col min="4045" max="4046" width="8.42578125" customWidth="1"/>
    <col min="4047" max="4047" width="44" customWidth="1"/>
    <col min="4049" max="4049" width="7.42578125" customWidth="1"/>
    <col min="4050" max="4050" width="11.42578125" customWidth="1"/>
    <col min="4051" max="4052" width="12.42578125" customWidth="1"/>
    <col min="4053" max="4053" width="11.42578125" customWidth="1"/>
    <col min="4054" max="4055" width="8.42578125" customWidth="1"/>
    <col min="4056" max="4056" width="17.42578125" customWidth="1"/>
    <col min="4057" max="4057" width="12.42578125" customWidth="1"/>
    <col min="4058" max="4059" width="8.42578125" customWidth="1"/>
    <col min="4060" max="4060" width="44" customWidth="1"/>
    <col min="4063" max="4063" width="7.42578125" customWidth="1"/>
    <col min="4064" max="4064" width="11.42578125" customWidth="1"/>
    <col min="4065" max="4066" width="12.42578125" customWidth="1"/>
    <col min="4067" max="4067" width="11.42578125" customWidth="1"/>
    <col min="4068" max="4069" width="8.42578125" customWidth="1"/>
    <col min="4070" max="4070" width="17.42578125" customWidth="1"/>
    <col min="4071" max="4071" width="12.42578125" customWidth="1"/>
    <col min="4072" max="4073" width="8.42578125" customWidth="1"/>
    <col min="4074" max="4074" width="43.42578125" customWidth="1"/>
    <col min="4076" max="4076" width="7.42578125" customWidth="1"/>
    <col min="4077" max="4077" width="11.42578125" customWidth="1"/>
    <col min="4078" max="4079" width="12.42578125" customWidth="1"/>
    <col min="4080" max="4080" width="11.42578125" customWidth="1"/>
    <col min="4081" max="4081" width="8.42578125" customWidth="1"/>
    <col min="4082" max="4082" width="8.42578125" bestFit="1" customWidth="1"/>
    <col min="4083" max="4083" width="17.42578125" bestFit="1" customWidth="1"/>
    <col min="4084" max="4084" width="12.42578125" bestFit="1" customWidth="1"/>
    <col min="4085" max="4086" width="8.42578125" customWidth="1"/>
    <col min="4087" max="4087" width="44" customWidth="1"/>
    <col min="4273" max="4273" width="22.42578125" bestFit="1" customWidth="1"/>
    <col min="4274" max="4274" width="8.42578125" customWidth="1"/>
    <col min="4275" max="4275" width="29.42578125" customWidth="1"/>
    <col min="4276" max="4276" width="7" customWidth="1"/>
    <col min="4277" max="4277" width="22.42578125" bestFit="1" customWidth="1"/>
    <col min="4278" max="4278" width="62.42578125" customWidth="1"/>
    <col min="4279" max="4279" width="2.42578125" customWidth="1"/>
    <col min="4280" max="4280" width="7" customWidth="1"/>
    <col min="4281" max="4281" width="11.42578125" customWidth="1"/>
    <col min="4282" max="4283" width="12.42578125" customWidth="1"/>
    <col min="4284" max="4286" width="8.42578125" customWidth="1"/>
    <col min="4287" max="4287" width="12.42578125" customWidth="1"/>
    <col min="4288" max="4289" width="8.42578125" customWidth="1"/>
    <col min="4290" max="4290" width="44" customWidth="1"/>
    <col min="4291" max="4291" width="10.42578125" customWidth="1"/>
    <col min="4292" max="4292" width="7.42578125" customWidth="1"/>
    <col min="4293" max="4293" width="11.42578125" customWidth="1"/>
    <col min="4294" max="4295" width="12.42578125" customWidth="1"/>
    <col min="4296" max="4296" width="11.42578125" customWidth="1"/>
    <col min="4297" max="4298" width="8.42578125" customWidth="1"/>
    <col min="4299" max="4299" width="17.42578125" customWidth="1"/>
    <col min="4300" max="4300" width="12.42578125" customWidth="1"/>
    <col min="4301" max="4302" width="8.42578125" customWidth="1"/>
    <col min="4303" max="4303" width="44" customWidth="1"/>
    <col min="4305" max="4305" width="7.42578125" customWidth="1"/>
    <col min="4306" max="4306" width="11.42578125" customWidth="1"/>
    <col min="4307" max="4308" width="12.42578125" customWidth="1"/>
    <col min="4309" max="4309" width="11.42578125" customWidth="1"/>
    <col min="4310" max="4311" width="8.42578125" customWidth="1"/>
    <col min="4312" max="4312" width="17.42578125" customWidth="1"/>
    <col min="4313" max="4313" width="12.42578125" customWidth="1"/>
    <col min="4314" max="4315" width="8.42578125" customWidth="1"/>
    <col min="4316" max="4316" width="44" customWidth="1"/>
    <col min="4319" max="4319" width="7.42578125" customWidth="1"/>
    <col min="4320" max="4320" width="11.42578125" customWidth="1"/>
    <col min="4321" max="4322" width="12.42578125" customWidth="1"/>
    <col min="4323" max="4323" width="11.42578125" customWidth="1"/>
    <col min="4324" max="4325" width="8.42578125" customWidth="1"/>
    <col min="4326" max="4326" width="17.42578125" customWidth="1"/>
    <col min="4327" max="4327" width="12.42578125" customWidth="1"/>
    <col min="4328" max="4329" width="8.42578125" customWidth="1"/>
    <col min="4330" max="4330" width="43.42578125" customWidth="1"/>
    <col min="4332" max="4332" width="7.42578125" customWidth="1"/>
    <col min="4333" max="4333" width="11.42578125" customWidth="1"/>
    <col min="4334" max="4335" width="12.42578125" customWidth="1"/>
    <col min="4336" max="4336" width="11.42578125" customWidth="1"/>
    <col min="4337" max="4337" width="8.42578125" customWidth="1"/>
    <col min="4338" max="4338" width="8.42578125" bestFit="1" customWidth="1"/>
    <col min="4339" max="4339" width="17.42578125" bestFit="1" customWidth="1"/>
    <col min="4340" max="4340" width="12.42578125" bestFit="1" customWidth="1"/>
    <col min="4341" max="4342" width="8.42578125" customWidth="1"/>
    <col min="4343" max="4343" width="44" customWidth="1"/>
    <col min="4529" max="4529" width="22.42578125" bestFit="1" customWidth="1"/>
    <col min="4530" max="4530" width="8.42578125" customWidth="1"/>
    <col min="4531" max="4531" width="29.42578125" customWidth="1"/>
    <col min="4532" max="4532" width="7" customWidth="1"/>
    <col min="4533" max="4533" width="22.42578125" bestFit="1" customWidth="1"/>
    <col min="4534" max="4534" width="62.42578125" customWidth="1"/>
    <col min="4535" max="4535" width="2.42578125" customWidth="1"/>
    <col min="4536" max="4536" width="7" customWidth="1"/>
    <col min="4537" max="4537" width="11.42578125" customWidth="1"/>
    <col min="4538" max="4539" width="12.42578125" customWidth="1"/>
    <col min="4540" max="4542" width="8.42578125" customWidth="1"/>
    <col min="4543" max="4543" width="12.42578125" customWidth="1"/>
    <col min="4544" max="4545" width="8.42578125" customWidth="1"/>
    <col min="4546" max="4546" width="44" customWidth="1"/>
    <col min="4547" max="4547" width="10.42578125" customWidth="1"/>
    <col min="4548" max="4548" width="7.42578125" customWidth="1"/>
    <col min="4549" max="4549" width="11.42578125" customWidth="1"/>
    <col min="4550" max="4551" width="12.42578125" customWidth="1"/>
    <col min="4552" max="4552" width="11.42578125" customWidth="1"/>
    <col min="4553" max="4554" width="8.42578125" customWidth="1"/>
    <col min="4555" max="4555" width="17.42578125" customWidth="1"/>
    <col min="4556" max="4556" width="12.42578125" customWidth="1"/>
    <col min="4557" max="4558" width="8.42578125" customWidth="1"/>
    <col min="4559" max="4559" width="44" customWidth="1"/>
    <col min="4561" max="4561" width="7.42578125" customWidth="1"/>
    <col min="4562" max="4562" width="11.42578125" customWidth="1"/>
    <col min="4563" max="4564" width="12.42578125" customWidth="1"/>
    <col min="4565" max="4565" width="11.42578125" customWidth="1"/>
    <col min="4566" max="4567" width="8.42578125" customWidth="1"/>
    <col min="4568" max="4568" width="17.42578125" customWidth="1"/>
    <col min="4569" max="4569" width="12.42578125" customWidth="1"/>
    <col min="4570" max="4571" width="8.42578125" customWidth="1"/>
    <col min="4572" max="4572" width="44" customWidth="1"/>
    <col min="4575" max="4575" width="7.42578125" customWidth="1"/>
    <col min="4576" max="4576" width="11.42578125" customWidth="1"/>
    <col min="4577" max="4578" width="12.42578125" customWidth="1"/>
    <col min="4579" max="4579" width="11.42578125" customWidth="1"/>
    <col min="4580" max="4581" width="8.42578125" customWidth="1"/>
    <col min="4582" max="4582" width="17.42578125" customWidth="1"/>
    <col min="4583" max="4583" width="12.42578125" customWidth="1"/>
    <col min="4584" max="4585" width="8.42578125" customWidth="1"/>
    <col min="4586" max="4586" width="43.42578125" customWidth="1"/>
    <col min="4588" max="4588" width="7.42578125" customWidth="1"/>
    <col min="4589" max="4589" width="11.42578125" customWidth="1"/>
    <col min="4590" max="4591" width="12.42578125" customWidth="1"/>
    <col min="4592" max="4592" width="11.42578125" customWidth="1"/>
    <col min="4593" max="4593" width="8.42578125" customWidth="1"/>
    <col min="4594" max="4594" width="8.42578125" bestFit="1" customWidth="1"/>
    <col min="4595" max="4595" width="17.42578125" bestFit="1" customWidth="1"/>
    <col min="4596" max="4596" width="12.42578125" bestFit="1" customWidth="1"/>
    <col min="4597" max="4598" width="8.42578125" customWidth="1"/>
    <col min="4599" max="4599" width="44" customWidth="1"/>
    <col min="4785" max="4785" width="22.42578125" bestFit="1" customWidth="1"/>
    <col min="4786" max="4786" width="8.42578125" customWidth="1"/>
    <col min="4787" max="4787" width="29.42578125" customWidth="1"/>
    <col min="4788" max="4788" width="7" customWidth="1"/>
    <col min="4789" max="4789" width="22.42578125" bestFit="1" customWidth="1"/>
    <col min="4790" max="4790" width="62.42578125" customWidth="1"/>
    <col min="4791" max="4791" width="2.42578125" customWidth="1"/>
    <col min="4792" max="4792" width="7" customWidth="1"/>
    <col min="4793" max="4793" width="11.42578125" customWidth="1"/>
    <col min="4794" max="4795" width="12.42578125" customWidth="1"/>
    <col min="4796" max="4798" width="8.42578125" customWidth="1"/>
    <col min="4799" max="4799" width="12.42578125" customWidth="1"/>
    <col min="4800" max="4801" width="8.42578125" customWidth="1"/>
    <col min="4802" max="4802" width="44" customWidth="1"/>
    <col min="4803" max="4803" width="10.42578125" customWidth="1"/>
    <col min="4804" max="4804" width="7.42578125" customWidth="1"/>
    <col min="4805" max="4805" width="11.42578125" customWidth="1"/>
    <col min="4806" max="4807" width="12.42578125" customWidth="1"/>
    <col min="4808" max="4808" width="11.42578125" customWidth="1"/>
    <col min="4809" max="4810" width="8.42578125" customWidth="1"/>
    <col min="4811" max="4811" width="17.42578125" customWidth="1"/>
    <col min="4812" max="4812" width="12.42578125" customWidth="1"/>
    <col min="4813" max="4814" width="8.42578125" customWidth="1"/>
    <col min="4815" max="4815" width="44" customWidth="1"/>
    <col min="4817" max="4817" width="7.42578125" customWidth="1"/>
    <col min="4818" max="4818" width="11.42578125" customWidth="1"/>
    <col min="4819" max="4820" width="12.42578125" customWidth="1"/>
    <col min="4821" max="4821" width="11.42578125" customWidth="1"/>
    <col min="4822" max="4823" width="8.42578125" customWidth="1"/>
    <col min="4824" max="4824" width="17.42578125" customWidth="1"/>
    <col min="4825" max="4825" width="12.42578125" customWidth="1"/>
    <col min="4826" max="4827" width="8.42578125" customWidth="1"/>
    <col min="4828" max="4828" width="44" customWidth="1"/>
    <col min="4831" max="4831" width="7.42578125" customWidth="1"/>
    <col min="4832" max="4832" width="11.42578125" customWidth="1"/>
    <col min="4833" max="4834" width="12.42578125" customWidth="1"/>
    <col min="4835" max="4835" width="11.42578125" customWidth="1"/>
    <col min="4836" max="4837" width="8.42578125" customWidth="1"/>
    <col min="4838" max="4838" width="17.42578125" customWidth="1"/>
    <col min="4839" max="4839" width="12.42578125" customWidth="1"/>
    <col min="4840" max="4841" width="8.42578125" customWidth="1"/>
    <col min="4842" max="4842" width="43.42578125" customWidth="1"/>
    <col min="4844" max="4844" width="7.42578125" customWidth="1"/>
    <col min="4845" max="4845" width="11.42578125" customWidth="1"/>
    <col min="4846" max="4847" width="12.42578125" customWidth="1"/>
    <col min="4848" max="4848" width="11.42578125" customWidth="1"/>
    <col min="4849" max="4849" width="8.42578125" customWidth="1"/>
    <col min="4850" max="4850" width="8.42578125" bestFit="1" customWidth="1"/>
    <col min="4851" max="4851" width="17.42578125" bestFit="1" customWidth="1"/>
    <col min="4852" max="4852" width="12.42578125" bestFit="1" customWidth="1"/>
    <col min="4853" max="4854" width="8.42578125" customWidth="1"/>
    <col min="4855" max="4855" width="44" customWidth="1"/>
    <col min="5041" max="5041" width="22.42578125" bestFit="1" customWidth="1"/>
    <col min="5042" max="5042" width="8.42578125" customWidth="1"/>
    <col min="5043" max="5043" width="29.42578125" customWidth="1"/>
    <col min="5044" max="5044" width="7" customWidth="1"/>
    <col min="5045" max="5045" width="22.42578125" bestFit="1" customWidth="1"/>
    <col min="5046" max="5046" width="62.42578125" customWidth="1"/>
    <col min="5047" max="5047" width="2.42578125" customWidth="1"/>
    <col min="5048" max="5048" width="7" customWidth="1"/>
    <col min="5049" max="5049" width="11.42578125" customWidth="1"/>
    <col min="5050" max="5051" width="12.42578125" customWidth="1"/>
    <col min="5052" max="5054" width="8.42578125" customWidth="1"/>
    <col min="5055" max="5055" width="12.42578125" customWidth="1"/>
    <col min="5056" max="5057" width="8.42578125" customWidth="1"/>
    <col min="5058" max="5058" width="44" customWidth="1"/>
    <col min="5059" max="5059" width="10.42578125" customWidth="1"/>
    <col min="5060" max="5060" width="7.42578125" customWidth="1"/>
    <col min="5061" max="5061" width="11.42578125" customWidth="1"/>
    <col min="5062" max="5063" width="12.42578125" customWidth="1"/>
    <col min="5064" max="5064" width="11.42578125" customWidth="1"/>
    <col min="5065" max="5066" width="8.42578125" customWidth="1"/>
    <col min="5067" max="5067" width="17.42578125" customWidth="1"/>
    <col min="5068" max="5068" width="12.42578125" customWidth="1"/>
    <col min="5069" max="5070" width="8.42578125" customWidth="1"/>
    <col min="5071" max="5071" width="44" customWidth="1"/>
    <col min="5073" max="5073" width="7.42578125" customWidth="1"/>
    <col min="5074" max="5074" width="11.42578125" customWidth="1"/>
    <col min="5075" max="5076" width="12.42578125" customWidth="1"/>
    <col min="5077" max="5077" width="11.42578125" customWidth="1"/>
    <col min="5078" max="5079" width="8.42578125" customWidth="1"/>
    <col min="5080" max="5080" width="17.42578125" customWidth="1"/>
    <col min="5081" max="5081" width="12.42578125" customWidth="1"/>
    <col min="5082" max="5083" width="8.42578125" customWidth="1"/>
    <col min="5084" max="5084" width="44" customWidth="1"/>
    <col min="5087" max="5087" width="7.42578125" customWidth="1"/>
    <col min="5088" max="5088" width="11.42578125" customWidth="1"/>
    <col min="5089" max="5090" width="12.42578125" customWidth="1"/>
    <col min="5091" max="5091" width="11.42578125" customWidth="1"/>
    <col min="5092" max="5093" width="8.42578125" customWidth="1"/>
    <col min="5094" max="5094" width="17.42578125" customWidth="1"/>
    <col min="5095" max="5095" width="12.42578125" customWidth="1"/>
    <col min="5096" max="5097" width="8.42578125" customWidth="1"/>
    <col min="5098" max="5098" width="43.42578125" customWidth="1"/>
    <col min="5100" max="5100" width="7.42578125" customWidth="1"/>
    <col min="5101" max="5101" width="11.42578125" customWidth="1"/>
    <col min="5102" max="5103" width="12.42578125" customWidth="1"/>
    <col min="5104" max="5104" width="11.42578125" customWidth="1"/>
    <col min="5105" max="5105" width="8.42578125" customWidth="1"/>
    <col min="5106" max="5106" width="8.42578125" bestFit="1" customWidth="1"/>
    <col min="5107" max="5107" width="17.42578125" bestFit="1" customWidth="1"/>
    <col min="5108" max="5108" width="12.42578125" bestFit="1" customWidth="1"/>
    <col min="5109" max="5110" width="8.42578125" customWidth="1"/>
    <col min="5111" max="5111" width="44" customWidth="1"/>
    <col min="5297" max="5297" width="22.42578125" bestFit="1" customWidth="1"/>
    <col min="5298" max="5298" width="8.42578125" customWidth="1"/>
    <col min="5299" max="5299" width="29.42578125" customWidth="1"/>
    <col min="5300" max="5300" width="7" customWidth="1"/>
    <col min="5301" max="5301" width="22.42578125" bestFit="1" customWidth="1"/>
    <col min="5302" max="5302" width="62.42578125" customWidth="1"/>
    <col min="5303" max="5303" width="2.42578125" customWidth="1"/>
    <col min="5304" max="5304" width="7" customWidth="1"/>
    <col min="5305" max="5305" width="11.42578125" customWidth="1"/>
    <col min="5306" max="5307" width="12.42578125" customWidth="1"/>
    <col min="5308" max="5310" width="8.42578125" customWidth="1"/>
    <col min="5311" max="5311" width="12.42578125" customWidth="1"/>
    <col min="5312" max="5313" width="8.42578125" customWidth="1"/>
    <col min="5314" max="5314" width="44" customWidth="1"/>
    <col min="5315" max="5315" width="10.42578125" customWidth="1"/>
    <col min="5316" max="5316" width="7.42578125" customWidth="1"/>
    <col min="5317" max="5317" width="11.42578125" customWidth="1"/>
    <col min="5318" max="5319" width="12.42578125" customWidth="1"/>
    <col min="5320" max="5320" width="11.42578125" customWidth="1"/>
    <col min="5321" max="5322" width="8.42578125" customWidth="1"/>
    <col min="5323" max="5323" width="17.42578125" customWidth="1"/>
    <col min="5324" max="5324" width="12.42578125" customWidth="1"/>
    <col min="5325" max="5326" width="8.42578125" customWidth="1"/>
    <col min="5327" max="5327" width="44" customWidth="1"/>
    <col min="5329" max="5329" width="7.42578125" customWidth="1"/>
    <col min="5330" max="5330" width="11.42578125" customWidth="1"/>
    <col min="5331" max="5332" width="12.42578125" customWidth="1"/>
    <col min="5333" max="5333" width="11.42578125" customWidth="1"/>
    <col min="5334" max="5335" width="8.42578125" customWidth="1"/>
    <col min="5336" max="5336" width="17.42578125" customWidth="1"/>
    <col min="5337" max="5337" width="12.42578125" customWidth="1"/>
    <col min="5338" max="5339" width="8.42578125" customWidth="1"/>
    <col min="5340" max="5340" width="44" customWidth="1"/>
    <col min="5343" max="5343" width="7.42578125" customWidth="1"/>
    <col min="5344" max="5344" width="11.42578125" customWidth="1"/>
    <col min="5345" max="5346" width="12.42578125" customWidth="1"/>
    <col min="5347" max="5347" width="11.42578125" customWidth="1"/>
    <col min="5348" max="5349" width="8.42578125" customWidth="1"/>
    <col min="5350" max="5350" width="17.42578125" customWidth="1"/>
    <col min="5351" max="5351" width="12.42578125" customWidth="1"/>
    <col min="5352" max="5353" width="8.42578125" customWidth="1"/>
    <col min="5354" max="5354" width="43.42578125" customWidth="1"/>
    <col min="5356" max="5356" width="7.42578125" customWidth="1"/>
    <col min="5357" max="5357" width="11.42578125" customWidth="1"/>
    <col min="5358" max="5359" width="12.42578125" customWidth="1"/>
    <col min="5360" max="5360" width="11.42578125" customWidth="1"/>
    <col min="5361" max="5361" width="8.42578125" customWidth="1"/>
    <col min="5362" max="5362" width="8.42578125" bestFit="1" customWidth="1"/>
    <col min="5363" max="5363" width="17.42578125" bestFit="1" customWidth="1"/>
    <col min="5364" max="5364" width="12.42578125" bestFit="1" customWidth="1"/>
    <col min="5365" max="5366" width="8.42578125" customWidth="1"/>
    <col min="5367" max="5367" width="44" customWidth="1"/>
    <col min="5553" max="5553" width="22.42578125" bestFit="1" customWidth="1"/>
    <col min="5554" max="5554" width="8.42578125" customWidth="1"/>
    <col min="5555" max="5555" width="29.42578125" customWidth="1"/>
    <col min="5556" max="5556" width="7" customWidth="1"/>
    <col min="5557" max="5557" width="22.42578125" bestFit="1" customWidth="1"/>
    <col min="5558" max="5558" width="62.42578125" customWidth="1"/>
    <col min="5559" max="5559" width="2.42578125" customWidth="1"/>
    <col min="5560" max="5560" width="7" customWidth="1"/>
    <col min="5561" max="5561" width="11.42578125" customWidth="1"/>
    <col min="5562" max="5563" width="12.42578125" customWidth="1"/>
    <col min="5564" max="5566" width="8.42578125" customWidth="1"/>
    <col min="5567" max="5567" width="12.42578125" customWidth="1"/>
    <col min="5568" max="5569" width="8.42578125" customWidth="1"/>
    <col min="5570" max="5570" width="44" customWidth="1"/>
    <col min="5571" max="5571" width="10.42578125" customWidth="1"/>
    <col min="5572" max="5572" width="7.42578125" customWidth="1"/>
    <col min="5573" max="5573" width="11.42578125" customWidth="1"/>
    <col min="5574" max="5575" width="12.42578125" customWidth="1"/>
    <col min="5576" max="5576" width="11.42578125" customWidth="1"/>
    <col min="5577" max="5578" width="8.42578125" customWidth="1"/>
    <col min="5579" max="5579" width="17.42578125" customWidth="1"/>
    <col min="5580" max="5580" width="12.42578125" customWidth="1"/>
    <col min="5581" max="5582" width="8.42578125" customWidth="1"/>
    <col min="5583" max="5583" width="44" customWidth="1"/>
    <col min="5585" max="5585" width="7.42578125" customWidth="1"/>
    <col min="5586" max="5586" width="11.42578125" customWidth="1"/>
    <col min="5587" max="5588" width="12.42578125" customWidth="1"/>
    <col min="5589" max="5589" width="11.42578125" customWidth="1"/>
    <col min="5590" max="5591" width="8.42578125" customWidth="1"/>
    <col min="5592" max="5592" width="17.42578125" customWidth="1"/>
    <col min="5593" max="5593" width="12.42578125" customWidth="1"/>
    <col min="5594" max="5595" width="8.42578125" customWidth="1"/>
    <col min="5596" max="5596" width="44" customWidth="1"/>
    <col min="5599" max="5599" width="7.42578125" customWidth="1"/>
    <col min="5600" max="5600" width="11.42578125" customWidth="1"/>
    <col min="5601" max="5602" width="12.42578125" customWidth="1"/>
    <col min="5603" max="5603" width="11.42578125" customWidth="1"/>
    <col min="5604" max="5605" width="8.42578125" customWidth="1"/>
    <col min="5606" max="5606" width="17.42578125" customWidth="1"/>
    <col min="5607" max="5607" width="12.42578125" customWidth="1"/>
    <col min="5608" max="5609" width="8.42578125" customWidth="1"/>
    <col min="5610" max="5610" width="43.42578125" customWidth="1"/>
    <col min="5612" max="5612" width="7.42578125" customWidth="1"/>
    <col min="5613" max="5613" width="11.42578125" customWidth="1"/>
    <col min="5614" max="5615" width="12.42578125" customWidth="1"/>
    <col min="5616" max="5616" width="11.42578125" customWidth="1"/>
    <col min="5617" max="5617" width="8.42578125" customWidth="1"/>
    <col min="5618" max="5618" width="8.42578125" bestFit="1" customWidth="1"/>
    <col min="5619" max="5619" width="17.42578125" bestFit="1" customWidth="1"/>
    <col min="5620" max="5620" width="12.42578125" bestFit="1" customWidth="1"/>
    <col min="5621" max="5622" width="8.42578125" customWidth="1"/>
    <col min="5623" max="5623" width="44" customWidth="1"/>
    <col min="5809" max="5809" width="22.42578125" bestFit="1" customWidth="1"/>
    <col min="5810" max="5810" width="8.42578125" customWidth="1"/>
    <col min="5811" max="5811" width="29.42578125" customWidth="1"/>
    <col min="5812" max="5812" width="7" customWidth="1"/>
    <col min="5813" max="5813" width="22.42578125" bestFit="1" customWidth="1"/>
    <col min="5814" max="5814" width="62.42578125" customWidth="1"/>
    <col min="5815" max="5815" width="2.42578125" customWidth="1"/>
    <col min="5816" max="5816" width="7" customWidth="1"/>
    <col min="5817" max="5817" width="11.42578125" customWidth="1"/>
    <col min="5818" max="5819" width="12.42578125" customWidth="1"/>
    <col min="5820" max="5822" width="8.42578125" customWidth="1"/>
    <col min="5823" max="5823" width="12.42578125" customWidth="1"/>
    <col min="5824" max="5825" width="8.42578125" customWidth="1"/>
    <col min="5826" max="5826" width="44" customWidth="1"/>
    <col min="5827" max="5827" width="10.42578125" customWidth="1"/>
    <col min="5828" max="5828" width="7.42578125" customWidth="1"/>
    <col min="5829" max="5829" width="11.42578125" customWidth="1"/>
    <col min="5830" max="5831" width="12.42578125" customWidth="1"/>
    <col min="5832" max="5832" width="11.42578125" customWidth="1"/>
    <col min="5833" max="5834" width="8.42578125" customWidth="1"/>
    <col min="5835" max="5835" width="17.42578125" customWidth="1"/>
    <col min="5836" max="5836" width="12.42578125" customWidth="1"/>
    <col min="5837" max="5838" width="8.42578125" customWidth="1"/>
    <col min="5839" max="5839" width="44" customWidth="1"/>
    <col min="5841" max="5841" width="7.42578125" customWidth="1"/>
    <col min="5842" max="5842" width="11.42578125" customWidth="1"/>
    <col min="5843" max="5844" width="12.42578125" customWidth="1"/>
    <col min="5845" max="5845" width="11.42578125" customWidth="1"/>
    <col min="5846" max="5847" width="8.42578125" customWidth="1"/>
    <col min="5848" max="5848" width="17.42578125" customWidth="1"/>
    <col min="5849" max="5849" width="12.42578125" customWidth="1"/>
    <col min="5850" max="5851" width="8.42578125" customWidth="1"/>
    <col min="5852" max="5852" width="44" customWidth="1"/>
    <col min="5855" max="5855" width="7.42578125" customWidth="1"/>
    <col min="5856" max="5856" width="11.42578125" customWidth="1"/>
    <col min="5857" max="5858" width="12.42578125" customWidth="1"/>
    <col min="5859" max="5859" width="11.42578125" customWidth="1"/>
    <col min="5860" max="5861" width="8.42578125" customWidth="1"/>
    <col min="5862" max="5862" width="17.42578125" customWidth="1"/>
    <col min="5863" max="5863" width="12.42578125" customWidth="1"/>
    <col min="5864" max="5865" width="8.42578125" customWidth="1"/>
    <col min="5866" max="5866" width="43.42578125" customWidth="1"/>
    <col min="5868" max="5868" width="7.42578125" customWidth="1"/>
    <col min="5869" max="5869" width="11.42578125" customWidth="1"/>
    <col min="5870" max="5871" width="12.42578125" customWidth="1"/>
    <col min="5872" max="5872" width="11.42578125" customWidth="1"/>
    <col min="5873" max="5873" width="8.42578125" customWidth="1"/>
    <col min="5874" max="5874" width="8.42578125" bestFit="1" customWidth="1"/>
    <col min="5875" max="5875" width="17.42578125" bestFit="1" customWidth="1"/>
    <col min="5876" max="5876" width="12.42578125" bestFit="1" customWidth="1"/>
    <col min="5877" max="5878" width="8.42578125" customWidth="1"/>
    <col min="5879" max="5879" width="44" customWidth="1"/>
    <col min="6065" max="6065" width="22.42578125" bestFit="1" customWidth="1"/>
    <col min="6066" max="6066" width="8.42578125" customWidth="1"/>
    <col min="6067" max="6067" width="29.42578125" customWidth="1"/>
    <col min="6068" max="6068" width="7" customWidth="1"/>
    <col min="6069" max="6069" width="22.42578125" bestFit="1" customWidth="1"/>
    <col min="6070" max="6070" width="62.42578125" customWidth="1"/>
    <col min="6071" max="6071" width="2.42578125" customWidth="1"/>
    <col min="6072" max="6072" width="7" customWidth="1"/>
    <col min="6073" max="6073" width="11.42578125" customWidth="1"/>
    <col min="6074" max="6075" width="12.42578125" customWidth="1"/>
    <col min="6076" max="6078" width="8.42578125" customWidth="1"/>
    <col min="6079" max="6079" width="12.42578125" customWidth="1"/>
    <col min="6080" max="6081" width="8.42578125" customWidth="1"/>
    <col min="6082" max="6082" width="44" customWidth="1"/>
    <col min="6083" max="6083" width="10.42578125" customWidth="1"/>
    <col min="6084" max="6084" width="7.42578125" customWidth="1"/>
    <col min="6085" max="6085" width="11.42578125" customWidth="1"/>
    <col min="6086" max="6087" width="12.42578125" customWidth="1"/>
    <col min="6088" max="6088" width="11.42578125" customWidth="1"/>
    <col min="6089" max="6090" width="8.42578125" customWidth="1"/>
    <col min="6091" max="6091" width="17.42578125" customWidth="1"/>
    <col min="6092" max="6092" width="12.42578125" customWidth="1"/>
    <col min="6093" max="6094" width="8.42578125" customWidth="1"/>
    <col min="6095" max="6095" width="44" customWidth="1"/>
    <col min="6097" max="6097" width="7.42578125" customWidth="1"/>
    <col min="6098" max="6098" width="11.42578125" customWidth="1"/>
    <col min="6099" max="6100" width="12.42578125" customWidth="1"/>
    <col min="6101" max="6101" width="11.42578125" customWidth="1"/>
    <col min="6102" max="6103" width="8.42578125" customWidth="1"/>
    <col min="6104" max="6104" width="17.42578125" customWidth="1"/>
    <col min="6105" max="6105" width="12.42578125" customWidth="1"/>
    <col min="6106" max="6107" width="8.42578125" customWidth="1"/>
    <col min="6108" max="6108" width="44" customWidth="1"/>
    <col min="6111" max="6111" width="7.42578125" customWidth="1"/>
    <col min="6112" max="6112" width="11.42578125" customWidth="1"/>
    <col min="6113" max="6114" width="12.42578125" customWidth="1"/>
    <col min="6115" max="6115" width="11.42578125" customWidth="1"/>
    <col min="6116" max="6117" width="8.42578125" customWidth="1"/>
    <col min="6118" max="6118" width="17.42578125" customWidth="1"/>
    <col min="6119" max="6119" width="12.42578125" customWidth="1"/>
    <col min="6120" max="6121" width="8.42578125" customWidth="1"/>
    <col min="6122" max="6122" width="43.42578125" customWidth="1"/>
    <col min="6124" max="6124" width="7.42578125" customWidth="1"/>
    <col min="6125" max="6125" width="11.42578125" customWidth="1"/>
    <col min="6126" max="6127" width="12.42578125" customWidth="1"/>
    <col min="6128" max="6128" width="11.42578125" customWidth="1"/>
    <col min="6129" max="6129" width="8.42578125" customWidth="1"/>
    <col min="6130" max="6130" width="8.42578125" bestFit="1" customWidth="1"/>
    <col min="6131" max="6131" width="17.42578125" bestFit="1" customWidth="1"/>
    <col min="6132" max="6132" width="12.42578125" bestFit="1" customWidth="1"/>
    <col min="6133" max="6134" width="8.42578125" customWidth="1"/>
    <col min="6135" max="6135" width="44" customWidth="1"/>
    <col min="6321" max="6321" width="22.42578125" bestFit="1" customWidth="1"/>
    <col min="6322" max="6322" width="8.42578125" customWidth="1"/>
    <col min="6323" max="6323" width="29.42578125" customWidth="1"/>
    <col min="6324" max="6324" width="7" customWidth="1"/>
    <col min="6325" max="6325" width="22.42578125" bestFit="1" customWidth="1"/>
    <col min="6326" max="6326" width="62.42578125" customWidth="1"/>
    <col min="6327" max="6327" width="2.42578125" customWidth="1"/>
    <col min="6328" max="6328" width="7" customWidth="1"/>
    <col min="6329" max="6329" width="11.42578125" customWidth="1"/>
    <col min="6330" max="6331" width="12.42578125" customWidth="1"/>
    <col min="6332" max="6334" width="8.42578125" customWidth="1"/>
    <col min="6335" max="6335" width="12.42578125" customWidth="1"/>
    <col min="6336" max="6337" width="8.42578125" customWidth="1"/>
    <col min="6338" max="6338" width="44" customWidth="1"/>
    <col min="6339" max="6339" width="10.42578125" customWidth="1"/>
    <col min="6340" max="6340" width="7.42578125" customWidth="1"/>
    <col min="6341" max="6341" width="11.42578125" customWidth="1"/>
    <col min="6342" max="6343" width="12.42578125" customWidth="1"/>
    <col min="6344" max="6344" width="11.42578125" customWidth="1"/>
    <col min="6345" max="6346" width="8.42578125" customWidth="1"/>
    <col min="6347" max="6347" width="17.42578125" customWidth="1"/>
    <col min="6348" max="6348" width="12.42578125" customWidth="1"/>
    <col min="6349" max="6350" width="8.42578125" customWidth="1"/>
    <col min="6351" max="6351" width="44" customWidth="1"/>
    <col min="6353" max="6353" width="7.42578125" customWidth="1"/>
    <col min="6354" max="6354" width="11.42578125" customWidth="1"/>
    <col min="6355" max="6356" width="12.42578125" customWidth="1"/>
    <col min="6357" max="6357" width="11.42578125" customWidth="1"/>
    <col min="6358" max="6359" width="8.42578125" customWidth="1"/>
    <col min="6360" max="6360" width="17.42578125" customWidth="1"/>
    <col min="6361" max="6361" width="12.42578125" customWidth="1"/>
    <col min="6362" max="6363" width="8.42578125" customWidth="1"/>
    <col min="6364" max="6364" width="44" customWidth="1"/>
    <col min="6367" max="6367" width="7.42578125" customWidth="1"/>
    <col min="6368" max="6368" width="11.42578125" customWidth="1"/>
    <col min="6369" max="6370" width="12.42578125" customWidth="1"/>
    <col min="6371" max="6371" width="11.42578125" customWidth="1"/>
    <col min="6372" max="6373" width="8.42578125" customWidth="1"/>
    <col min="6374" max="6374" width="17.42578125" customWidth="1"/>
    <col min="6375" max="6375" width="12.42578125" customWidth="1"/>
    <col min="6376" max="6377" width="8.42578125" customWidth="1"/>
    <col min="6378" max="6378" width="43.42578125" customWidth="1"/>
    <col min="6380" max="6380" width="7.42578125" customWidth="1"/>
    <col min="6381" max="6381" width="11.42578125" customWidth="1"/>
    <col min="6382" max="6383" width="12.42578125" customWidth="1"/>
    <col min="6384" max="6384" width="11.42578125" customWidth="1"/>
    <col min="6385" max="6385" width="8.42578125" customWidth="1"/>
    <col min="6386" max="6386" width="8.42578125" bestFit="1" customWidth="1"/>
    <col min="6387" max="6387" width="17.42578125" bestFit="1" customWidth="1"/>
    <col min="6388" max="6388" width="12.42578125" bestFit="1" customWidth="1"/>
    <col min="6389" max="6390" width="8.42578125" customWidth="1"/>
    <col min="6391" max="6391" width="44" customWidth="1"/>
    <col min="6577" max="6577" width="22.42578125" bestFit="1" customWidth="1"/>
    <col min="6578" max="6578" width="8.42578125" customWidth="1"/>
    <col min="6579" max="6579" width="29.42578125" customWidth="1"/>
    <col min="6580" max="6580" width="7" customWidth="1"/>
    <col min="6581" max="6581" width="22.42578125" bestFit="1" customWidth="1"/>
    <col min="6582" max="6582" width="62.42578125" customWidth="1"/>
    <col min="6583" max="6583" width="2.42578125" customWidth="1"/>
    <col min="6584" max="6584" width="7" customWidth="1"/>
    <col min="6585" max="6585" width="11.42578125" customWidth="1"/>
    <col min="6586" max="6587" width="12.42578125" customWidth="1"/>
    <col min="6588" max="6590" width="8.42578125" customWidth="1"/>
    <col min="6591" max="6591" width="12.42578125" customWidth="1"/>
    <col min="6592" max="6593" width="8.42578125" customWidth="1"/>
    <col min="6594" max="6594" width="44" customWidth="1"/>
    <col min="6595" max="6595" width="10.42578125" customWidth="1"/>
    <col min="6596" max="6596" width="7.42578125" customWidth="1"/>
    <col min="6597" max="6597" width="11.42578125" customWidth="1"/>
    <col min="6598" max="6599" width="12.42578125" customWidth="1"/>
    <col min="6600" max="6600" width="11.42578125" customWidth="1"/>
    <col min="6601" max="6602" width="8.42578125" customWidth="1"/>
    <col min="6603" max="6603" width="17.42578125" customWidth="1"/>
    <col min="6604" max="6604" width="12.42578125" customWidth="1"/>
    <col min="6605" max="6606" width="8.42578125" customWidth="1"/>
    <col min="6607" max="6607" width="44" customWidth="1"/>
    <col min="6609" max="6609" width="7.42578125" customWidth="1"/>
    <col min="6610" max="6610" width="11.42578125" customWidth="1"/>
    <col min="6611" max="6612" width="12.42578125" customWidth="1"/>
    <col min="6613" max="6613" width="11.42578125" customWidth="1"/>
    <col min="6614" max="6615" width="8.42578125" customWidth="1"/>
    <col min="6616" max="6616" width="17.42578125" customWidth="1"/>
    <col min="6617" max="6617" width="12.42578125" customWidth="1"/>
    <col min="6618" max="6619" width="8.42578125" customWidth="1"/>
    <col min="6620" max="6620" width="44" customWidth="1"/>
    <col min="6623" max="6623" width="7.42578125" customWidth="1"/>
    <col min="6624" max="6624" width="11.42578125" customWidth="1"/>
    <col min="6625" max="6626" width="12.42578125" customWidth="1"/>
    <col min="6627" max="6627" width="11.42578125" customWidth="1"/>
    <col min="6628" max="6629" width="8.42578125" customWidth="1"/>
    <col min="6630" max="6630" width="17.42578125" customWidth="1"/>
    <col min="6631" max="6631" width="12.42578125" customWidth="1"/>
    <col min="6632" max="6633" width="8.42578125" customWidth="1"/>
    <col min="6634" max="6634" width="43.42578125" customWidth="1"/>
    <col min="6636" max="6636" width="7.42578125" customWidth="1"/>
    <col min="6637" max="6637" width="11.42578125" customWidth="1"/>
    <col min="6638" max="6639" width="12.42578125" customWidth="1"/>
    <col min="6640" max="6640" width="11.42578125" customWidth="1"/>
    <col min="6641" max="6641" width="8.42578125" customWidth="1"/>
    <col min="6642" max="6642" width="8.42578125" bestFit="1" customWidth="1"/>
    <col min="6643" max="6643" width="17.42578125" bestFit="1" customWidth="1"/>
    <col min="6644" max="6644" width="12.42578125" bestFit="1" customWidth="1"/>
    <col min="6645" max="6646" width="8.42578125" customWidth="1"/>
    <col min="6647" max="6647" width="44" customWidth="1"/>
    <col min="6833" max="6833" width="22.42578125" bestFit="1" customWidth="1"/>
    <col min="6834" max="6834" width="8.42578125" customWidth="1"/>
    <col min="6835" max="6835" width="29.42578125" customWidth="1"/>
    <col min="6836" max="6836" width="7" customWidth="1"/>
    <col min="6837" max="6837" width="22.42578125" bestFit="1" customWidth="1"/>
    <col min="6838" max="6838" width="62.42578125" customWidth="1"/>
    <col min="6839" max="6839" width="2.42578125" customWidth="1"/>
    <col min="6840" max="6840" width="7" customWidth="1"/>
    <col min="6841" max="6841" width="11.42578125" customWidth="1"/>
    <col min="6842" max="6843" width="12.42578125" customWidth="1"/>
    <col min="6844" max="6846" width="8.42578125" customWidth="1"/>
    <col min="6847" max="6847" width="12.42578125" customWidth="1"/>
    <col min="6848" max="6849" width="8.42578125" customWidth="1"/>
    <col min="6850" max="6850" width="44" customWidth="1"/>
    <col min="6851" max="6851" width="10.42578125" customWidth="1"/>
    <col min="6852" max="6852" width="7.42578125" customWidth="1"/>
    <col min="6853" max="6853" width="11.42578125" customWidth="1"/>
    <col min="6854" max="6855" width="12.42578125" customWidth="1"/>
    <col min="6856" max="6856" width="11.42578125" customWidth="1"/>
    <col min="6857" max="6858" width="8.42578125" customWidth="1"/>
    <col min="6859" max="6859" width="17.42578125" customWidth="1"/>
    <col min="6860" max="6860" width="12.42578125" customWidth="1"/>
    <col min="6861" max="6862" width="8.42578125" customWidth="1"/>
    <col min="6863" max="6863" width="44" customWidth="1"/>
    <col min="6865" max="6865" width="7.42578125" customWidth="1"/>
    <col min="6866" max="6866" width="11.42578125" customWidth="1"/>
    <col min="6867" max="6868" width="12.42578125" customWidth="1"/>
    <col min="6869" max="6869" width="11.42578125" customWidth="1"/>
    <col min="6870" max="6871" width="8.42578125" customWidth="1"/>
    <col min="6872" max="6872" width="17.42578125" customWidth="1"/>
    <col min="6873" max="6873" width="12.42578125" customWidth="1"/>
    <col min="6874" max="6875" width="8.42578125" customWidth="1"/>
    <col min="6876" max="6876" width="44" customWidth="1"/>
    <col min="6879" max="6879" width="7.42578125" customWidth="1"/>
    <col min="6880" max="6880" width="11.42578125" customWidth="1"/>
    <col min="6881" max="6882" width="12.42578125" customWidth="1"/>
    <col min="6883" max="6883" width="11.42578125" customWidth="1"/>
    <col min="6884" max="6885" width="8.42578125" customWidth="1"/>
    <col min="6886" max="6886" width="17.42578125" customWidth="1"/>
    <col min="6887" max="6887" width="12.42578125" customWidth="1"/>
    <col min="6888" max="6889" width="8.42578125" customWidth="1"/>
    <col min="6890" max="6890" width="43.42578125" customWidth="1"/>
    <col min="6892" max="6892" width="7.42578125" customWidth="1"/>
    <col min="6893" max="6893" width="11.42578125" customWidth="1"/>
    <col min="6894" max="6895" width="12.42578125" customWidth="1"/>
    <col min="6896" max="6896" width="11.42578125" customWidth="1"/>
    <col min="6897" max="6897" width="8.42578125" customWidth="1"/>
    <col min="6898" max="6898" width="8.42578125" bestFit="1" customWidth="1"/>
    <col min="6899" max="6899" width="17.42578125" bestFit="1" customWidth="1"/>
    <col min="6900" max="6900" width="12.42578125" bestFit="1" customWidth="1"/>
    <col min="6901" max="6902" width="8.42578125" customWidth="1"/>
    <col min="6903" max="6903" width="44" customWidth="1"/>
    <col min="7089" max="7089" width="22.42578125" bestFit="1" customWidth="1"/>
    <col min="7090" max="7090" width="8.42578125" customWidth="1"/>
    <col min="7091" max="7091" width="29.42578125" customWidth="1"/>
    <col min="7092" max="7092" width="7" customWidth="1"/>
    <col min="7093" max="7093" width="22.42578125" bestFit="1" customWidth="1"/>
    <col min="7094" max="7094" width="62.42578125" customWidth="1"/>
    <col min="7095" max="7095" width="2.42578125" customWidth="1"/>
    <col min="7096" max="7096" width="7" customWidth="1"/>
    <col min="7097" max="7097" width="11.42578125" customWidth="1"/>
    <col min="7098" max="7099" width="12.42578125" customWidth="1"/>
    <col min="7100" max="7102" width="8.42578125" customWidth="1"/>
    <col min="7103" max="7103" width="12.42578125" customWidth="1"/>
    <col min="7104" max="7105" width="8.42578125" customWidth="1"/>
    <col min="7106" max="7106" width="44" customWidth="1"/>
    <col min="7107" max="7107" width="10.42578125" customWidth="1"/>
    <col min="7108" max="7108" width="7.42578125" customWidth="1"/>
    <col min="7109" max="7109" width="11.42578125" customWidth="1"/>
    <col min="7110" max="7111" width="12.42578125" customWidth="1"/>
    <col min="7112" max="7112" width="11.42578125" customWidth="1"/>
    <col min="7113" max="7114" width="8.42578125" customWidth="1"/>
    <col min="7115" max="7115" width="17.42578125" customWidth="1"/>
    <col min="7116" max="7116" width="12.42578125" customWidth="1"/>
    <col min="7117" max="7118" width="8.42578125" customWidth="1"/>
    <col min="7119" max="7119" width="44" customWidth="1"/>
    <col min="7121" max="7121" width="7.42578125" customWidth="1"/>
    <col min="7122" max="7122" width="11.42578125" customWidth="1"/>
    <col min="7123" max="7124" width="12.42578125" customWidth="1"/>
    <col min="7125" max="7125" width="11.42578125" customWidth="1"/>
    <col min="7126" max="7127" width="8.42578125" customWidth="1"/>
    <col min="7128" max="7128" width="17.42578125" customWidth="1"/>
    <col min="7129" max="7129" width="12.42578125" customWidth="1"/>
    <col min="7130" max="7131" width="8.42578125" customWidth="1"/>
    <col min="7132" max="7132" width="44" customWidth="1"/>
    <col min="7135" max="7135" width="7.42578125" customWidth="1"/>
    <col min="7136" max="7136" width="11.42578125" customWidth="1"/>
    <col min="7137" max="7138" width="12.42578125" customWidth="1"/>
    <col min="7139" max="7139" width="11.42578125" customWidth="1"/>
    <col min="7140" max="7141" width="8.42578125" customWidth="1"/>
    <col min="7142" max="7142" width="17.42578125" customWidth="1"/>
    <col min="7143" max="7143" width="12.42578125" customWidth="1"/>
    <col min="7144" max="7145" width="8.42578125" customWidth="1"/>
    <col min="7146" max="7146" width="43.42578125" customWidth="1"/>
    <col min="7148" max="7148" width="7.42578125" customWidth="1"/>
    <col min="7149" max="7149" width="11.42578125" customWidth="1"/>
    <col min="7150" max="7151" width="12.42578125" customWidth="1"/>
    <col min="7152" max="7152" width="11.42578125" customWidth="1"/>
    <col min="7153" max="7153" width="8.42578125" customWidth="1"/>
    <col min="7154" max="7154" width="8.42578125" bestFit="1" customWidth="1"/>
    <col min="7155" max="7155" width="17.42578125" bestFit="1" customWidth="1"/>
    <col min="7156" max="7156" width="12.42578125" bestFit="1" customWidth="1"/>
    <col min="7157" max="7158" width="8.42578125" customWidth="1"/>
    <col min="7159" max="7159" width="44" customWidth="1"/>
    <col min="7345" max="7345" width="22.42578125" bestFit="1" customWidth="1"/>
    <col min="7346" max="7346" width="8.42578125" customWidth="1"/>
    <col min="7347" max="7347" width="29.42578125" customWidth="1"/>
    <col min="7348" max="7348" width="7" customWidth="1"/>
    <col min="7349" max="7349" width="22.42578125" bestFit="1" customWidth="1"/>
    <col min="7350" max="7350" width="62.42578125" customWidth="1"/>
    <col min="7351" max="7351" width="2.42578125" customWidth="1"/>
    <col min="7352" max="7352" width="7" customWidth="1"/>
    <col min="7353" max="7353" width="11.42578125" customWidth="1"/>
    <col min="7354" max="7355" width="12.42578125" customWidth="1"/>
    <col min="7356" max="7358" width="8.42578125" customWidth="1"/>
    <col min="7359" max="7359" width="12.42578125" customWidth="1"/>
    <col min="7360" max="7361" width="8.42578125" customWidth="1"/>
    <col min="7362" max="7362" width="44" customWidth="1"/>
    <col min="7363" max="7363" width="10.42578125" customWidth="1"/>
    <col min="7364" max="7364" width="7.42578125" customWidth="1"/>
    <col min="7365" max="7365" width="11.42578125" customWidth="1"/>
    <col min="7366" max="7367" width="12.42578125" customWidth="1"/>
    <col min="7368" max="7368" width="11.42578125" customWidth="1"/>
    <col min="7369" max="7370" width="8.42578125" customWidth="1"/>
    <col min="7371" max="7371" width="17.42578125" customWidth="1"/>
    <col min="7372" max="7372" width="12.42578125" customWidth="1"/>
    <col min="7373" max="7374" width="8.42578125" customWidth="1"/>
    <col min="7375" max="7375" width="44" customWidth="1"/>
    <col min="7377" max="7377" width="7.42578125" customWidth="1"/>
    <col min="7378" max="7378" width="11.42578125" customWidth="1"/>
    <col min="7379" max="7380" width="12.42578125" customWidth="1"/>
    <col min="7381" max="7381" width="11.42578125" customWidth="1"/>
    <col min="7382" max="7383" width="8.42578125" customWidth="1"/>
    <col min="7384" max="7384" width="17.42578125" customWidth="1"/>
    <col min="7385" max="7385" width="12.42578125" customWidth="1"/>
    <col min="7386" max="7387" width="8.42578125" customWidth="1"/>
    <col min="7388" max="7388" width="44" customWidth="1"/>
    <col min="7391" max="7391" width="7.42578125" customWidth="1"/>
    <col min="7392" max="7392" width="11.42578125" customWidth="1"/>
    <col min="7393" max="7394" width="12.42578125" customWidth="1"/>
    <col min="7395" max="7395" width="11.42578125" customWidth="1"/>
    <col min="7396" max="7397" width="8.42578125" customWidth="1"/>
    <col min="7398" max="7398" width="17.42578125" customWidth="1"/>
    <col min="7399" max="7399" width="12.42578125" customWidth="1"/>
    <col min="7400" max="7401" width="8.42578125" customWidth="1"/>
    <col min="7402" max="7402" width="43.42578125" customWidth="1"/>
    <col min="7404" max="7404" width="7.42578125" customWidth="1"/>
    <col min="7405" max="7405" width="11.42578125" customWidth="1"/>
    <col min="7406" max="7407" width="12.42578125" customWidth="1"/>
    <col min="7408" max="7408" width="11.42578125" customWidth="1"/>
    <col min="7409" max="7409" width="8.42578125" customWidth="1"/>
    <col min="7410" max="7410" width="8.42578125" bestFit="1" customWidth="1"/>
    <col min="7411" max="7411" width="17.42578125" bestFit="1" customWidth="1"/>
    <col min="7412" max="7412" width="12.42578125" bestFit="1" customWidth="1"/>
    <col min="7413" max="7414" width="8.42578125" customWidth="1"/>
    <col min="7415" max="7415" width="44" customWidth="1"/>
    <col min="7601" max="7601" width="22.42578125" bestFit="1" customWidth="1"/>
    <col min="7602" max="7602" width="8.42578125" customWidth="1"/>
    <col min="7603" max="7603" width="29.42578125" customWidth="1"/>
    <col min="7604" max="7604" width="7" customWidth="1"/>
    <col min="7605" max="7605" width="22.42578125" bestFit="1" customWidth="1"/>
    <col min="7606" max="7606" width="62.42578125" customWidth="1"/>
    <col min="7607" max="7607" width="2.42578125" customWidth="1"/>
    <col min="7608" max="7608" width="7" customWidth="1"/>
    <col min="7609" max="7609" width="11.42578125" customWidth="1"/>
    <col min="7610" max="7611" width="12.42578125" customWidth="1"/>
    <col min="7612" max="7614" width="8.42578125" customWidth="1"/>
    <col min="7615" max="7615" width="12.42578125" customWidth="1"/>
    <col min="7616" max="7617" width="8.42578125" customWidth="1"/>
    <col min="7618" max="7618" width="44" customWidth="1"/>
    <col min="7619" max="7619" width="10.42578125" customWidth="1"/>
    <col min="7620" max="7620" width="7.42578125" customWidth="1"/>
    <col min="7621" max="7621" width="11.42578125" customWidth="1"/>
    <col min="7622" max="7623" width="12.42578125" customWidth="1"/>
    <col min="7624" max="7624" width="11.42578125" customWidth="1"/>
    <col min="7625" max="7626" width="8.42578125" customWidth="1"/>
    <col min="7627" max="7627" width="17.42578125" customWidth="1"/>
    <col min="7628" max="7628" width="12.42578125" customWidth="1"/>
    <col min="7629" max="7630" width="8.42578125" customWidth="1"/>
    <col min="7631" max="7631" width="44" customWidth="1"/>
    <col min="7633" max="7633" width="7.42578125" customWidth="1"/>
    <col min="7634" max="7634" width="11.42578125" customWidth="1"/>
    <col min="7635" max="7636" width="12.42578125" customWidth="1"/>
    <col min="7637" max="7637" width="11.42578125" customWidth="1"/>
    <col min="7638" max="7639" width="8.42578125" customWidth="1"/>
    <col min="7640" max="7640" width="17.42578125" customWidth="1"/>
    <col min="7641" max="7641" width="12.42578125" customWidth="1"/>
    <col min="7642" max="7643" width="8.42578125" customWidth="1"/>
    <col min="7644" max="7644" width="44" customWidth="1"/>
    <col min="7647" max="7647" width="7.42578125" customWidth="1"/>
    <col min="7648" max="7648" width="11.42578125" customWidth="1"/>
    <col min="7649" max="7650" width="12.42578125" customWidth="1"/>
    <col min="7651" max="7651" width="11.42578125" customWidth="1"/>
    <col min="7652" max="7653" width="8.42578125" customWidth="1"/>
    <col min="7654" max="7654" width="17.42578125" customWidth="1"/>
    <col min="7655" max="7655" width="12.42578125" customWidth="1"/>
    <col min="7656" max="7657" width="8.42578125" customWidth="1"/>
    <col min="7658" max="7658" width="43.42578125" customWidth="1"/>
    <col min="7660" max="7660" width="7.42578125" customWidth="1"/>
    <col min="7661" max="7661" width="11.42578125" customWidth="1"/>
    <col min="7662" max="7663" width="12.42578125" customWidth="1"/>
    <col min="7664" max="7664" width="11.42578125" customWidth="1"/>
    <col min="7665" max="7665" width="8.42578125" customWidth="1"/>
    <col min="7666" max="7666" width="8.42578125" bestFit="1" customWidth="1"/>
    <col min="7667" max="7667" width="17.42578125" bestFit="1" customWidth="1"/>
    <col min="7668" max="7668" width="12.42578125" bestFit="1" customWidth="1"/>
    <col min="7669" max="7670" width="8.42578125" customWidth="1"/>
    <col min="7671" max="7671" width="44" customWidth="1"/>
    <col min="7857" max="7857" width="22.42578125" bestFit="1" customWidth="1"/>
    <col min="7858" max="7858" width="8.42578125" customWidth="1"/>
    <col min="7859" max="7859" width="29.42578125" customWidth="1"/>
    <col min="7860" max="7860" width="7" customWidth="1"/>
    <col min="7861" max="7861" width="22.42578125" bestFit="1" customWidth="1"/>
    <col min="7862" max="7862" width="62.42578125" customWidth="1"/>
    <col min="7863" max="7863" width="2.42578125" customWidth="1"/>
    <col min="7864" max="7864" width="7" customWidth="1"/>
    <col min="7865" max="7865" width="11.42578125" customWidth="1"/>
    <col min="7866" max="7867" width="12.42578125" customWidth="1"/>
    <col min="7868" max="7870" width="8.42578125" customWidth="1"/>
    <col min="7871" max="7871" width="12.42578125" customWidth="1"/>
    <col min="7872" max="7873" width="8.42578125" customWidth="1"/>
    <col min="7874" max="7874" width="44" customWidth="1"/>
    <col min="7875" max="7875" width="10.42578125" customWidth="1"/>
    <col min="7876" max="7876" width="7.42578125" customWidth="1"/>
    <col min="7877" max="7877" width="11.42578125" customWidth="1"/>
    <col min="7878" max="7879" width="12.42578125" customWidth="1"/>
    <col min="7880" max="7880" width="11.42578125" customWidth="1"/>
    <col min="7881" max="7882" width="8.42578125" customWidth="1"/>
    <col min="7883" max="7883" width="17.42578125" customWidth="1"/>
    <col min="7884" max="7884" width="12.42578125" customWidth="1"/>
    <col min="7885" max="7886" width="8.42578125" customWidth="1"/>
    <col min="7887" max="7887" width="44" customWidth="1"/>
    <col min="7889" max="7889" width="7.42578125" customWidth="1"/>
    <col min="7890" max="7890" width="11.42578125" customWidth="1"/>
    <col min="7891" max="7892" width="12.42578125" customWidth="1"/>
    <col min="7893" max="7893" width="11.42578125" customWidth="1"/>
    <col min="7894" max="7895" width="8.42578125" customWidth="1"/>
    <col min="7896" max="7896" width="17.42578125" customWidth="1"/>
    <col min="7897" max="7897" width="12.42578125" customWidth="1"/>
    <col min="7898" max="7899" width="8.42578125" customWidth="1"/>
    <col min="7900" max="7900" width="44" customWidth="1"/>
    <col min="7903" max="7903" width="7.42578125" customWidth="1"/>
    <col min="7904" max="7904" width="11.42578125" customWidth="1"/>
    <col min="7905" max="7906" width="12.42578125" customWidth="1"/>
    <col min="7907" max="7907" width="11.42578125" customWidth="1"/>
    <col min="7908" max="7909" width="8.42578125" customWidth="1"/>
    <col min="7910" max="7910" width="17.42578125" customWidth="1"/>
    <col min="7911" max="7911" width="12.42578125" customWidth="1"/>
    <col min="7912" max="7913" width="8.42578125" customWidth="1"/>
    <col min="7914" max="7914" width="43.42578125" customWidth="1"/>
    <col min="7916" max="7916" width="7.42578125" customWidth="1"/>
    <col min="7917" max="7917" width="11.42578125" customWidth="1"/>
    <col min="7918" max="7919" width="12.42578125" customWidth="1"/>
    <col min="7920" max="7920" width="11.42578125" customWidth="1"/>
    <col min="7921" max="7921" width="8.42578125" customWidth="1"/>
    <col min="7922" max="7922" width="8.42578125" bestFit="1" customWidth="1"/>
    <col min="7923" max="7923" width="17.42578125" bestFit="1" customWidth="1"/>
    <col min="7924" max="7924" width="12.42578125" bestFit="1" customWidth="1"/>
    <col min="7925" max="7926" width="8.42578125" customWidth="1"/>
    <col min="7927" max="7927" width="44" customWidth="1"/>
    <col min="8113" max="8113" width="22.42578125" bestFit="1" customWidth="1"/>
    <col min="8114" max="8114" width="8.42578125" customWidth="1"/>
    <col min="8115" max="8115" width="29.42578125" customWidth="1"/>
    <col min="8116" max="8116" width="7" customWidth="1"/>
    <col min="8117" max="8117" width="22.42578125" bestFit="1" customWidth="1"/>
    <col min="8118" max="8118" width="62.42578125" customWidth="1"/>
    <col min="8119" max="8119" width="2.42578125" customWidth="1"/>
    <col min="8120" max="8120" width="7" customWidth="1"/>
    <col min="8121" max="8121" width="11.42578125" customWidth="1"/>
    <col min="8122" max="8123" width="12.42578125" customWidth="1"/>
    <col min="8124" max="8126" width="8.42578125" customWidth="1"/>
    <col min="8127" max="8127" width="12.42578125" customWidth="1"/>
    <col min="8128" max="8129" width="8.42578125" customWidth="1"/>
    <col min="8130" max="8130" width="44" customWidth="1"/>
    <col min="8131" max="8131" width="10.42578125" customWidth="1"/>
    <col min="8132" max="8132" width="7.42578125" customWidth="1"/>
    <col min="8133" max="8133" width="11.42578125" customWidth="1"/>
    <col min="8134" max="8135" width="12.42578125" customWidth="1"/>
    <col min="8136" max="8136" width="11.42578125" customWidth="1"/>
    <col min="8137" max="8138" width="8.42578125" customWidth="1"/>
    <col min="8139" max="8139" width="17.42578125" customWidth="1"/>
    <col min="8140" max="8140" width="12.42578125" customWidth="1"/>
    <col min="8141" max="8142" width="8.42578125" customWidth="1"/>
    <col min="8143" max="8143" width="44" customWidth="1"/>
    <col min="8145" max="8145" width="7.42578125" customWidth="1"/>
    <col min="8146" max="8146" width="11.42578125" customWidth="1"/>
    <col min="8147" max="8148" width="12.42578125" customWidth="1"/>
    <col min="8149" max="8149" width="11.42578125" customWidth="1"/>
    <col min="8150" max="8151" width="8.42578125" customWidth="1"/>
    <col min="8152" max="8152" width="17.42578125" customWidth="1"/>
    <col min="8153" max="8153" width="12.42578125" customWidth="1"/>
    <col min="8154" max="8155" width="8.42578125" customWidth="1"/>
    <col min="8156" max="8156" width="44" customWidth="1"/>
    <col min="8159" max="8159" width="7.42578125" customWidth="1"/>
    <col min="8160" max="8160" width="11.42578125" customWidth="1"/>
    <col min="8161" max="8162" width="12.42578125" customWidth="1"/>
    <col min="8163" max="8163" width="11.42578125" customWidth="1"/>
    <col min="8164" max="8165" width="8.42578125" customWidth="1"/>
    <col min="8166" max="8166" width="17.42578125" customWidth="1"/>
    <col min="8167" max="8167" width="12.42578125" customWidth="1"/>
    <col min="8168" max="8169" width="8.42578125" customWidth="1"/>
    <col min="8170" max="8170" width="43.42578125" customWidth="1"/>
    <col min="8172" max="8172" width="7.42578125" customWidth="1"/>
    <col min="8173" max="8173" width="11.42578125" customWidth="1"/>
    <col min="8174" max="8175" width="12.42578125" customWidth="1"/>
    <col min="8176" max="8176" width="11.42578125" customWidth="1"/>
    <col min="8177" max="8177" width="8.42578125" customWidth="1"/>
    <col min="8178" max="8178" width="8.42578125" bestFit="1" customWidth="1"/>
    <col min="8179" max="8179" width="17.42578125" bestFit="1" customWidth="1"/>
    <col min="8180" max="8180" width="12.42578125" bestFit="1" customWidth="1"/>
    <col min="8181" max="8182" width="8.42578125" customWidth="1"/>
    <col min="8183" max="8183" width="44" customWidth="1"/>
    <col min="8369" max="8369" width="22.42578125" bestFit="1" customWidth="1"/>
    <col min="8370" max="8370" width="8.42578125" customWidth="1"/>
    <col min="8371" max="8371" width="29.42578125" customWidth="1"/>
    <col min="8372" max="8372" width="7" customWidth="1"/>
    <col min="8373" max="8373" width="22.42578125" bestFit="1" customWidth="1"/>
    <col min="8374" max="8374" width="62.42578125" customWidth="1"/>
    <col min="8375" max="8375" width="2.42578125" customWidth="1"/>
    <col min="8376" max="8376" width="7" customWidth="1"/>
    <col min="8377" max="8377" width="11.42578125" customWidth="1"/>
    <col min="8378" max="8379" width="12.42578125" customWidth="1"/>
    <col min="8380" max="8382" width="8.42578125" customWidth="1"/>
    <col min="8383" max="8383" width="12.42578125" customWidth="1"/>
    <col min="8384" max="8385" width="8.42578125" customWidth="1"/>
    <col min="8386" max="8386" width="44" customWidth="1"/>
    <col min="8387" max="8387" width="10.42578125" customWidth="1"/>
    <col min="8388" max="8388" width="7.42578125" customWidth="1"/>
    <col min="8389" max="8389" width="11.42578125" customWidth="1"/>
    <col min="8390" max="8391" width="12.42578125" customWidth="1"/>
    <col min="8392" max="8392" width="11.42578125" customWidth="1"/>
    <col min="8393" max="8394" width="8.42578125" customWidth="1"/>
    <col min="8395" max="8395" width="17.42578125" customWidth="1"/>
    <col min="8396" max="8396" width="12.42578125" customWidth="1"/>
    <col min="8397" max="8398" width="8.42578125" customWidth="1"/>
    <col min="8399" max="8399" width="44" customWidth="1"/>
    <col min="8401" max="8401" width="7.42578125" customWidth="1"/>
    <col min="8402" max="8402" width="11.42578125" customWidth="1"/>
    <col min="8403" max="8404" width="12.42578125" customWidth="1"/>
    <col min="8405" max="8405" width="11.42578125" customWidth="1"/>
    <col min="8406" max="8407" width="8.42578125" customWidth="1"/>
    <col min="8408" max="8408" width="17.42578125" customWidth="1"/>
    <col min="8409" max="8409" width="12.42578125" customWidth="1"/>
    <col min="8410" max="8411" width="8.42578125" customWidth="1"/>
    <col min="8412" max="8412" width="44" customWidth="1"/>
    <col min="8415" max="8415" width="7.42578125" customWidth="1"/>
    <col min="8416" max="8416" width="11.42578125" customWidth="1"/>
    <col min="8417" max="8418" width="12.42578125" customWidth="1"/>
    <col min="8419" max="8419" width="11.42578125" customWidth="1"/>
    <col min="8420" max="8421" width="8.42578125" customWidth="1"/>
    <col min="8422" max="8422" width="17.42578125" customWidth="1"/>
    <col min="8423" max="8423" width="12.42578125" customWidth="1"/>
    <col min="8424" max="8425" width="8.42578125" customWidth="1"/>
    <col min="8426" max="8426" width="43.42578125" customWidth="1"/>
    <col min="8428" max="8428" width="7.42578125" customWidth="1"/>
    <col min="8429" max="8429" width="11.42578125" customWidth="1"/>
    <col min="8430" max="8431" width="12.42578125" customWidth="1"/>
    <col min="8432" max="8432" width="11.42578125" customWidth="1"/>
    <col min="8433" max="8433" width="8.42578125" customWidth="1"/>
    <col min="8434" max="8434" width="8.42578125" bestFit="1" customWidth="1"/>
    <col min="8435" max="8435" width="17.42578125" bestFit="1" customWidth="1"/>
    <col min="8436" max="8436" width="12.42578125" bestFit="1" customWidth="1"/>
    <col min="8437" max="8438" width="8.42578125" customWidth="1"/>
    <col min="8439" max="8439" width="44" customWidth="1"/>
    <col min="8625" max="8625" width="22.42578125" bestFit="1" customWidth="1"/>
    <col min="8626" max="8626" width="8.42578125" customWidth="1"/>
    <col min="8627" max="8627" width="29.42578125" customWidth="1"/>
    <col min="8628" max="8628" width="7" customWidth="1"/>
    <col min="8629" max="8629" width="22.42578125" bestFit="1" customWidth="1"/>
    <col min="8630" max="8630" width="62.42578125" customWidth="1"/>
    <col min="8631" max="8631" width="2.42578125" customWidth="1"/>
    <col min="8632" max="8632" width="7" customWidth="1"/>
    <col min="8633" max="8633" width="11.42578125" customWidth="1"/>
    <col min="8634" max="8635" width="12.42578125" customWidth="1"/>
    <col min="8636" max="8638" width="8.42578125" customWidth="1"/>
    <col min="8639" max="8639" width="12.42578125" customWidth="1"/>
    <col min="8640" max="8641" width="8.42578125" customWidth="1"/>
    <col min="8642" max="8642" width="44" customWidth="1"/>
    <col min="8643" max="8643" width="10.42578125" customWidth="1"/>
    <col min="8644" max="8644" width="7.42578125" customWidth="1"/>
    <col min="8645" max="8645" width="11.42578125" customWidth="1"/>
    <col min="8646" max="8647" width="12.42578125" customWidth="1"/>
    <col min="8648" max="8648" width="11.42578125" customWidth="1"/>
    <col min="8649" max="8650" width="8.42578125" customWidth="1"/>
    <col min="8651" max="8651" width="17.42578125" customWidth="1"/>
    <col min="8652" max="8652" width="12.42578125" customWidth="1"/>
    <col min="8653" max="8654" width="8.42578125" customWidth="1"/>
    <col min="8655" max="8655" width="44" customWidth="1"/>
    <col min="8657" max="8657" width="7.42578125" customWidth="1"/>
    <col min="8658" max="8658" width="11.42578125" customWidth="1"/>
    <col min="8659" max="8660" width="12.42578125" customWidth="1"/>
    <col min="8661" max="8661" width="11.42578125" customWidth="1"/>
    <col min="8662" max="8663" width="8.42578125" customWidth="1"/>
    <col min="8664" max="8664" width="17.42578125" customWidth="1"/>
    <col min="8665" max="8665" width="12.42578125" customWidth="1"/>
    <col min="8666" max="8667" width="8.42578125" customWidth="1"/>
    <col min="8668" max="8668" width="44" customWidth="1"/>
    <col min="8671" max="8671" width="7.42578125" customWidth="1"/>
    <col min="8672" max="8672" width="11.42578125" customWidth="1"/>
    <col min="8673" max="8674" width="12.42578125" customWidth="1"/>
    <col min="8675" max="8675" width="11.42578125" customWidth="1"/>
    <col min="8676" max="8677" width="8.42578125" customWidth="1"/>
    <col min="8678" max="8678" width="17.42578125" customWidth="1"/>
    <col min="8679" max="8679" width="12.42578125" customWidth="1"/>
    <col min="8680" max="8681" width="8.42578125" customWidth="1"/>
    <col min="8682" max="8682" width="43.42578125" customWidth="1"/>
    <col min="8684" max="8684" width="7.42578125" customWidth="1"/>
    <col min="8685" max="8685" width="11.42578125" customWidth="1"/>
    <col min="8686" max="8687" width="12.42578125" customWidth="1"/>
    <col min="8688" max="8688" width="11.42578125" customWidth="1"/>
    <col min="8689" max="8689" width="8.42578125" customWidth="1"/>
    <col min="8690" max="8690" width="8.42578125" bestFit="1" customWidth="1"/>
    <col min="8691" max="8691" width="17.42578125" bestFit="1" customWidth="1"/>
    <col min="8692" max="8692" width="12.42578125" bestFit="1" customWidth="1"/>
    <col min="8693" max="8694" width="8.42578125" customWidth="1"/>
    <col min="8695" max="8695" width="44" customWidth="1"/>
    <col min="8881" max="8881" width="22.42578125" bestFit="1" customWidth="1"/>
    <col min="8882" max="8882" width="8.42578125" customWidth="1"/>
    <col min="8883" max="8883" width="29.42578125" customWidth="1"/>
    <col min="8884" max="8884" width="7" customWidth="1"/>
    <col min="8885" max="8885" width="22.42578125" bestFit="1" customWidth="1"/>
    <col min="8886" max="8886" width="62.42578125" customWidth="1"/>
    <col min="8887" max="8887" width="2.42578125" customWidth="1"/>
    <col min="8888" max="8888" width="7" customWidth="1"/>
    <col min="8889" max="8889" width="11.42578125" customWidth="1"/>
    <col min="8890" max="8891" width="12.42578125" customWidth="1"/>
    <col min="8892" max="8894" width="8.42578125" customWidth="1"/>
    <col min="8895" max="8895" width="12.42578125" customWidth="1"/>
    <col min="8896" max="8897" width="8.42578125" customWidth="1"/>
    <col min="8898" max="8898" width="44" customWidth="1"/>
    <col min="8899" max="8899" width="10.42578125" customWidth="1"/>
    <col min="8900" max="8900" width="7.42578125" customWidth="1"/>
    <col min="8901" max="8901" width="11.42578125" customWidth="1"/>
    <col min="8902" max="8903" width="12.42578125" customWidth="1"/>
    <col min="8904" max="8904" width="11.42578125" customWidth="1"/>
    <col min="8905" max="8906" width="8.42578125" customWidth="1"/>
    <col min="8907" max="8907" width="17.42578125" customWidth="1"/>
    <col min="8908" max="8908" width="12.42578125" customWidth="1"/>
    <col min="8909" max="8910" width="8.42578125" customWidth="1"/>
    <col min="8911" max="8911" width="44" customWidth="1"/>
    <col min="8913" max="8913" width="7.42578125" customWidth="1"/>
    <col min="8914" max="8914" width="11.42578125" customWidth="1"/>
    <col min="8915" max="8916" width="12.42578125" customWidth="1"/>
    <col min="8917" max="8917" width="11.42578125" customWidth="1"/>
    <col min="8918" max="8919" width="8.42578125" customWidth="1"/>
    <col min="8920" max="8920" width="17.42578125" customWidth="1"/>
    <col min="8921" max="8921" width="12.42578125" customWidth="1"/>
    <col min="8922" max="8923" width="8.42578125" customWidth="1"/>
    <col min="8924" max="8924" width="44" customWidth="1"/>
    <col min="8927" max="8927" width="7.42578125" customWidth="1"/>
    <col min="8928" max="8928" width="11.42578125" customWidth="1"/>
    <col min="8929" max="8930" width="12.42578125" customWidth="1"/>
    <col min="8931" max="8931" width="11.42578125" customWidth="1"/>
    <col min="8932" max="8933" width="8.42578125" customWidth="1"/>
    <col min="8934" max="8934" width="17.42578125" customWidth="1"/>
    <col min="8935" max="8935" width="12.42578125" customWidth="1"/>
    <col min="8936" max="8937" width="8.42578125" customWidth="1"/>
    <col min="8938" max="8938" width="43.42578125" customWidth="1"/>
    <col min="8940" max="8940" width="7.42578125" customWidth="1"/>
    <col min="8941" max="8941" width="11.42578125" customWidth="1"/>
    <col min="8942" max="8943" width="12.42578125" customWidth="1"/>
    <col min="8944" max="8944" width="11.42578125" customWidth="1"/>
    <col min="8945" max="8945" width="8.42578125" customWidth="1"/>
    <col min="8946" max="8946" width="8.42578125" bestFit="1" customWidth="1"/>
    <col min="8947" max="8947" width="17.42578125" bestFit="1" customWidth="1"/>
    <col min="8948" max="8948" width="12.42578125" bestFit="1" customWidth="1"/>
    <col min="8949" max="8950" width="8.42578125" customWidth="1"/>
    <col min="8951" max="8951" width="44" customWidth="1"/>
    <col min="9137" max="9137" width="22.42578125" bestFit="1" customWidth="1"/>
    <col min="9138" max="9138" width="8.42578125" customWidth="1"/>
    <col min="9139" max="9139" width="29.42578125" customWidth="1"/>
    <col min="9140" max="9140" width="7" customWidth="1"/>
    <col min="9141" max="9141" width="22.42578125" bestFit="1" customWidth="1"/>
    <col min="9142" max="9142" width="62.42578125" customWidth="1"/>
    <col min="9143" max="9143" width="2.42578125" customWidth="1"/>
    <col min="9144" max="9144" width="7" customWidth="1"/>
    <col min="9145" max="9145" width="11.42578125" customWidth="1"/>
    <col min="9146" max="9147" width="12.42578125" customWidth="1"/>
    <col min="9148" max="9150" width="8.42578125" customWidth="1"/>
    <col min="9151" max="9151" width="12.42578125" customWidth="1"/>
    <col min="9152" max="9153" width="8.42578125" customWidth="1"/>
    <col min="9154" max="9154" width="44" customWidth="1"/>
    <col min="9155" max="9155" width="10.42578125" customWidth="1"/>
    <col min="9156" max="9156" width="7.42578125" customWidth="1"/>
    <col min="9157" max="9157" width="11.42578125" customWidth="1"/>
    <col min="9158" max="9159" width="12.42578125" customWidth="1"/>
    <col min="9160" max="9160" width="11.42578125" customWidth="1"/>
    <col min="9161" max="9162" width="8.42578125" customWidth="1"/>
    <col min="9163" max="9163" width="17.42578125" customWidth="1"/>
    <col min="9164" max="9164" width="12.42578125" customWidth="1"/>
    <col min="9165" max="9166" width="8.42578125" customWidth="1"/>
    <col min="9167" max="9167" width="44" customWidth="1"/>
    <col min="9169" max="9169" width="7.42578125" customWidth="1"/>
    <col min="9170" max="9170" width="11.42578125" customWidth="1"/>
    <col min="9171" max="9172" width="12.42578125" customWidth="1"/>
    <col min="9173" max="9173" width="11.42578125" customWidth="1"/>
    <col min="9174" max="9175" width="8.42578125" customWidth="1"/>
    <col min="9176" max="9176" width="17.42578125" customWidth="1"/>
    <col min="9177" max="9177" width="12.42578125" customWidth="1"/>
    <col min="9178" max="9179" width="8.42578125" customWidth="1"/>
    <col min="9180" max="9180" width="44" customWidth="1"/>
    <col min="9183" max="9183" width="7.42578125" customWidth="1"/>
    <col min="9184" max="9184" width="11.42578125" customWidth="1"/>
    <col min="9185" max="9186" width="12.42578125" customWidth="1"/>
    <col min="9187" max="9187" width="11.42578125" customWidth="1"/>
    <col min="9188" max="9189" width="8.42578125" customWidth="1"/>
    <col min="9190" max="9190" width="17.42578125" customWidth="1"/>
    <col min="9191" max="9191" width="12.42578125" customWidth="1"/>
    <col min="9192" max="9193" width="8.42578125" customWidth="1"/>
    <col min="9194" max="9194" width="43.42578125" customWidth="1"/>
    <col min="9196" max="9196" width="7.42578125" customWidth="1"/>
    <col min="9197" max="9197" width="11.42578125" customWidth="1"/>
    <col min="9198" max="9199" width="12.42578125" customWidth="1"/>
    <col min="9200" max="9200" width="11.42578125" customWidth="1"/>
    <col min="9201" max="9201" width="8.42578125" customWidth="1"/>
    <col min="9202" max="9202" width="8.42578125" bestFit="1" customWidth="1"/>
    <col min="9203" max="9203" width="17.42578125" bestFit="1" customWidth="1"/>
    <col min="9204" max="9204" width="12.42578125" bestFit="1" customWidth="1"/>
    <col min="9205" max="9206" width="8.42578125" customWidth="1"/>
    <col min="9207" max="9207" width="44" customWidth="1"/>
    <col min="9393" max="9393" width="22.42578125" bestFit="1" customWidth="1"/>
    <col min="9394" max="9394" width="8.42578125" customWidth="1"/>
    <col min="9395" max="9395" width="29.42578125" customWidth="1"/>
    <col min="9396" max="9396" width="7" customWidth="1"/>
    <col min="9397" max="9397" width="22.42578125" bestFit="1" customWidth="1"/>
    <col min="9398" max="9398" width="62.42578125" customWidth="1"/>
    <col min="9399" max="9399" width="2.42578125" customWidth="1"/>
    <col min="9400" max="9400" width="7" customWidth="1"/>
    <col min="9401" max="9401" width="11.42578125" customWidth="1"/>
    <col min="9402" max="9403" width="12.42578125" customWidth="1"/>
    <col min="9404" max="9406" width="8.42578125" customWidth="1"/>
    <col min="9407" max="9407" width="12.42578125" customWidth="1"/>
    <col min="9408" max="9409" width="8.42578125" customWidth="1"/>
    <col min="9410" max="9410" width="44" customWidth="1"/>
    <col min="9411" max="9411" width="10.42578125" customWidth="1"/>
    <col min="9412" max="9412" width="7.42578125" customWidth="1"/>
    <col min="9413" max="9413" width="11.42578125" customWidth="1"/>
    <col min="9414" max="9415" width="12.42578125" customWidth="1"/>
    <col min="9416" max="9416" width="11.42578125" customWidth="1"/>
    <col min="9417" max="9418" width="8.42578125" customWidth="1"/>
    <col min="9419" max="9419" width="17.42578125" customWidth="1"/>
    <col min="9420" max="9420" width="12.42578125" customWidth="1"/>
    <col min="9421" max="9422" width="8.42578125" customWidth="1"/>
    <col min="9423" max="9423" width="44" customWidth="1"/>
    <col min="9425" max="9425" width="7.42578125" customWidth="1"/>
    <col min="9426" max="9426" width="11.42578125" customWidth="1"/>
    <col min="9427" max="9428" width="12.42578125" customWidth="1"/>
    <col min="9429" max="9429" width="11.42578125" customWidth="1"/>
    <col min="9430" max="9431" width="8.42578125" customWidth="1"/>
    <col min="9432" max="9432" width="17.42578125" customWidth="1"/>
    <col min="9433" max="9433" width="12.42578125" customWidth="1"/>
    <col min="9434" max="9435" width="8.42578125" customWidth="1"/>
    <col min="9436" max="9436" width="44" customWidth="1"/>
    <col min="9439" max="9439" width="7.42578125" customWidth="1"/>
    <col min="9440" max="9440" width="11.42578125" customWidth="1"/>
    <col min="9441" max="9442" width="12.42578125" customWidth="1"/>
    <col min="9443" max="9443" width="11.42578125" customWidth="1"/>
    <col min="9444" max="9445" width="8.42578125" customWidth="1"/>
    <col min="9446" max="9446" width="17.42578125" customWidth="1"/>
    <col min="9447" max="9447" width="12.42578125" customWidth="1"/>
    <col min="9448" max="9449" width="8.42578125" customWidth="1"/>
    <col min="9450" max="9450" width="43.42578125" customWidth="1"/>
    <col min="9452" max="9452" width="7.42578125" customWidth="1"/>
    <col min="9453" max="9453" width="11.42578125" customWidth="1"/>
    <col min="9454" max="9455" width="12.42578125" customWidth="1"/>
    <col min="9456" max="9456" width="11.42578125" customWidth="1"/>
    <col min="9457" max="9457" width="8.42578125" customWidth="1"/>
    <col min="9458" max="9458" width="8.42578125" bestFit="1" customWidth="1"/>
    <col min="9459" max="9459" width="17.42578125" bestFit="1" customWidth="1"/>
    <col min="9460" max="9460" width="12.42578125" bestFit="1" customWidth="1"/>
    <col min="9461" max="9462" width="8.42578125" customWidth="1"/>
    <col min="9463" max="9463" width="44" customWidth="1"/>
    <col min="9649" max="9649" width="22.42578125" bestFit="1" customWidth="1"/>
    <col min="9650" max="9650" width="8.42578125" customWidth="1"/>
    <col min="9651" max="9651" width="29.42578125" customWidth="1"/>
    <col min="9652" max="9652" width="7" customWidth="1"/>
    <col min="9653" max="9653" width="22.42578125" bestFit="1" customWidth="1"/>
    <col min="9654" max="9654" width="62.42578125" customWidth="1"/>
    <col min="9655" max="9655" width="2.42578125" customWidth="1"/>
    <col min="9656" max="9656" width="7" customWidth="1"/>
    <col min="9657" max="9657" width="11.42578125" customWidth="1"/>
    <col min="9658" max="9659" width="12.42578125" customWidth="1"/>
    <col min="9660" max="9662" width="8.42578125" customWidth="1"/>
    <col min="9663" max="9663" width="12.42578125" customWidth="1"/>
    <col min="9664" max="9665" width="8.42578125" customWidth="1"/>
    <col min="9666" max="9666" width="44" customWidth="1"/>
    <col min="9667" max="9667" width="10.42578125" customWidth="1"/>
    <col min="9668" max="9668" width="7.42578125" customWidth="1"/>
    <col min="9669" max="9669" width="11.42578125" customWidth="1"/>
    <col min="9670" max="9671" width="12.42578125" customWidth="1"/>
    <col min="9672" max="9672" width="11.42578125" customWidth="1"/>
    <col min="9673" max="9674" width="8.42578125" customWidth="1"/>
    <col min="9675" max="9675" width="17.42578125" customWidth="1"/>
    <col min="9676" max="9676" width="12.42578125" customWidth="1"/>
    <col min="9677" max="9678" width="8.42578125" customWidth="1"/>
    <col min="9679" max="9679" width="44" customWidth="1"/>
    <col min="9681" max="9681" width="7.42578125" customWidth="1"/>
    <col min="9682" max="9682" width="11.42578125" customWidth="1"/>
    <col min="9683" max="9684" width="12.42578125" customWidth="1"/>
    <col min="9685" max="9685" width="11.42578125" customWidth="1"/>
    <col min="9686" max="9687" width="8.42578125" customWidth="1"/>
    <col min="9688" max="9688" width="17.42578125" customWidth="1"/>
    <col min="9689" max="9689" width="12.42578125" customWidth="1"/>
    <col min="9690" max="9691" width="8.42578125" customWidth="1"/>
    <col min="9692" max="9692" width="44" customWidth="1"/>
    <col min="9695" max="9695" width="7.42578125" customWidth="1"/>
    <col min="9696" max="9696" width="11.42578125" customWidth="1"/>
    <col min="9697" max="9698" width="12.42578125" customWidth="1"/>
    <col min="9699" max="9699" width="11.42578125" customWidth="1"/>
    <col min="9700" max="9701" width="8.42578125" customWidth="1"/>
    <col min="9702" max="9702" width="17.42578125" customWidth="1"/>
    <col min="9703" max="9703" width="12.42578125" customWidth="1"/>
    <col min="9704" max="9705" width="8.42578125" customWidth="1"/>
    <col min="9706" max="9706" width="43.42578125" customWidth="1"/>
    <col min="9708" max="9708" width="7.42578125" customWidth="1"/>
    <col min="9709" max="9709" width="11.42578125" customWidth="1"/>
    <col min="9710" max="9711" width="12.42578125" customWidth="1"/>
    <col min="9712" max="9712" width="11.42578125" customWidth="1"/>
    <col min="9713" max="9713" width="8.42578125" customWidth="1"/>
    <col min="9714" max="9714" width="8.42578125" bestFit="1" customWidth="1"/>
    <col min="9715" max="9715" width="17.42578125" bestFit="1" customWidth="1"/>
    <col min="9716" max="9716" width="12.42578125" bestFit="1" customWidth="1"/>
    <col min="9717" max="9718" width="8.42578125" customWidth="1"/>
    <col min="9719" max="9719" width="44" customWidth="1"/>
    <col min="9905" max="9905" width="22.42578125" bestFit="1" customWidth="1"/>
    <col min="9906" max="9906" width="8.42578125" customWidth="1"/>
    <col min="9907" max="9907" width="29.42578125" customWidth="1"/>
    <col min="9908" max="9908" width="7" customWidth="1"/>
    <col min="9909" max="9909" width="22.42578125" bestFit="1" customWidth="1"/>
    <col min="9910" max="9910" width="62.42578125" customWidth="1"/>
    <col min="9911" max="9911" width="2.42578125" customWidth="1"/>
    <col min="9912" max="9912" width="7" customWidth="1"/>
    <col min="9913" max="9913" width="11.42578125" customWidth="1"/>
    <col min="9914" max="9915" width="12.42578125" customWidth="1"/>
    <col min="9916" max="9918" width="8.42578125" customWidth="1"/>
    <col min="9919" max="9919" width="12.42578125" customWidth="1"/>
    <col min="9920" max="9921" width="8.42578125" customWidth="1"/>
    <col min="9922" max="9922" width="44" customWidth="1"/>
    <col min="9923" max="9923" width="10.42578125" customWidth="1"/>
    <col min="9924" max="9924" width="7.42578125" customWidth="1"/>
    <col min="9925" max="9925" width="11.42578125" customWidth="1"/>
    <col min="9926" max="9927" width="12.42578125" customWidth="1"/>
    <col min="9928" max="9928" width="11.42578125" customWidth="1"/>
    <col min="9929" max="9930" width="8.42578125" customWidth="1"/>
    <col min="9931" max="9931" width="17.42578125" customWidth="1"/>
    <col min="9932" max="9932" width="12.42578125" customWidth="1"/>
    <col min="9933" max="9934" width="8.42578125" customWidth="1"/>
    <col min="9935" max="9935" width="44" customWidth="1"/>
    <col min="9937" max="9937" width="7.42578125" customWidth="1"/>
    <col min="9938" max="9938" width="11.42578125" customWidth="1"/>
    <col min="9939" max="9940" width="12.42578125" customWidth="1"/>
    <col min="9941" max="9941" width="11.42578125" customWidth="1"/>
    <col min="9942" max="9943" width="8.42578125" customWidth="1"/>
    <col min="9944" max="9944" width="17.42578125" customWidth="1"/>
    <col min="9945" max="9945" width="12.42578125" customWidth="1"/>
    <col min="9946" max="9947" width="8.42578125" customWidth="1"/>
    <col min="9948" max="9948" width="44" customWidth="1"/>
    <col min="9951" max="9951" width="7.42578125" customWidth="1"/>
    <col min="9952" max="9952" width="11.42578125" customWidth="1"/>
    <col min="9953" max="9954" width="12.42578125" customWidth="1"/>
    <col min="9955" max="9955" width="11.42578125" customWidth="1"/>
    <col min="9956" max="9957" width="8.42578125" customWidth="1"/>
    <col min="9958" max="9958" width="17.42578125" customWidth="1"/>
    <col min="9959" max="9959" width="12.42578125" customWidth="1"/>
    <col min="9960" max="9961" width="8.42578125" customWidth="1"/>
    <col min="9962" max="9962" width="43.42578125" customWidth="1"/>
    <col min="9964" max="9964" width="7.42578125" customWidth="1"/>
    <col min="9965" max="9965" width="11.42578125" customWidth="1"/>
    <col min="9966" max="9967" width="12.42578125" customWidth="1"/>
    <col min="9968" max="9968" width="11.42578125" customWidth="1"/>
    <col min="9969" max="9969" width="8.42578125" customWidth="1"/>
    <col min="9970" max="9970" width="8.42578125" bestFit="1" customWidth="1"/>
    <col min="9971" max="9971" width="17.42578125" bestFit="1" customWidth="1"/>
    <col min="9972" max="9972" width="12.42578125" bestFit="1" customWidth="1"/>
    <col min="9973" max="9974" width="8.42578125" customWidth="1"/>
    <col min="9975" max="9975" width="44" customWidth="1"/>
    <col min="10161" max="10161" width="22.42578125" bestFit="1" customWidth="1"/>
    <col min="10162" max="10162" width="8.42578125" customWidth="1"/>
    <col min="10163" max="10163" width="29.42578125" customWidth="1"/>
    <col min="10164" max="10164" width="7" customWidth="1"/>
    <col min="10165" max="10165" width="22.42578125" bestFit="1" customWidth="1"/>
    <col min="10166" max="10166" width="62.42578125" customWidth="1"/>
    <col min="10167" max="10167" width="2.42578125" customWidth="1"/>
    <col min="10168" max="10168" width="7" customWidth="1"/>
    <col min="10169" max="10169" width="11.42578125" customWidth="1"/>
    <col min="10170" max="10171" width="12.42578125" customWidth="1"/>
    <col min="10172" max="10174" width="8.42578125" customWidth="1"/>
    <col min="10175" max="10175" width="12.42578125" customWidth="1"/>
    <col min="10176" max="10177" width="8.42578125" customWidth="1"/>
    <col min="10178" max="10178" width="44" customWidth="1"/>
    <col min="10179" max="10179" width="10.42578125" customWidth="1"/>
    <col min="10180" max="10180" width="7.42578125" customWidth="1"/>
    <col min="10181" max="10181" width="11.42578125" customWidth="1"/>
    <col min="10182" max="10183" width="12.42578125" customWidth="1"/>
    <col min="10184" max="10184" width="11.42578125" customWidth="1"/>
    <col min="10185" max="10186" width="8.42578125" customWidth="1"/>
    <col min="10187" max="10187" width="17.42578125" customWidth="1"/>
    <col min="10188" max="10188" width="12.42578125" customWidth="1"/>
    <col min="10189" max="10190" width="8.42578125" customWidth="1"/>
    <col min="10191" max="10191" width="44" customWidth="1"/>
    <col min="10193" max="10193" width="7.42578125" customWidth="1"/>
    <col min="10194" max="10194" width="11.42578125" customWidth="1"/>
    <col min="10195" max="10196" width="12.42578125" customWidth="1"/>
    <col min="10197" max="10197" width="11.42578125" customWidth="1"/>
    <col min="10198" max="10199" width="8.42578125" customWidth="1"/>
    <col min="10200" max="10200" width="17.42578125" customWidth="1"/>
    <col min="10201" max="10201" width="12.42578125" customWidth="1"/>
    <col min="10202" max="10203" width="8.42578125" customWidth="1"/>
    <col min="10204" max="10204" width="44" customWidth="1"/>
    <col min="10207" max="10207" width="7.42578125" customWidth="1"/>
    <col min="10208" max="10208" width="11.42578125" customWidth="1"/>
    <col min="10209" max="10210" width="12.42578125" customWidth="1"/>
    <col min="10211" max="10211" width="11.42578125" customWidth="1"/>
    <col min="10212" max="10213" width="8.42578125" customWidth="1"/>
    <col min="10214" max="10214" width="17.42578125" customWidth="1"/>
    <col min="10215" max="10215" width="12.42578125" customWidth="1"/>
    <col min="10216" max="10217" width="8.42578125" customWidth="1"/>
    <col min="10218" max="10218" width="43.42578125" customWidth="1"/>
    <col min="10220" max="10220" width="7.42578125" customWidth="1"/>
    <col min="10221" max="10221" width="11.42578125" customWidth="1"/>
    <col min="10222" max="10223" width="12.42578125" customWidth="1"/>
    <col min="10224" max="10224" width="11.42578125" customWidth="1"/>
    <col min="10225" max="10225" width="8.42578125" customWidth="1"/>
    <col min="10226" max="10226" width="8.42578125" bestFit="1" customWidth="1"/>
    <col min="10227" max="10227" width="17.42578125" bestFit="1" customWidth="1"/>
    <col min="10228" max="10228" width="12.42578125" bestFit="1" customWidth="1"/>
    <col min="10229" max="10230" width="8.42578125" customWidth="1"/>
    <col min="10231" max="10231" width="44" customWidth="1"/>
    <col min="10417" max="10417" width="22.42578125" bestFit="1" customWidth="1"/>
    <col min="10418" max="10418" width="8.42578125" customWidth="1"/>
    <col min="10419" max="10419" width="29.42578125" customWidth="1"/>
    <col min="10420" max="10420" width="7" customWidth="1"/>
    <col min="10421" max="10421" width="22.42578125" bestFit="1" customWidth="1"/>
    <col min="10422" max="10422" width="62.42578125" customWidth="1"/>
    <col min="10423" max="10423" width="2.42578125" customWidth="1"/>
    <col min="10424" max="10424" width="7" customWidth="1"/>
    <col min="10425" max="10425" width="11.42578125" customWidth="1"/>
    <col min="10426" max="10427" width="12.42578125" customWidth="1"/>
    <col min="10428" max="10430" width="8.42578125" customWidth="1"/>
    <col min="10431" max="10431" width="12.42578125" customWidth="1"/>
    <col min="10432" max="10433" width="8.42578125" customWidth="1"/>
    <col min="10434" max="10434" width="44" customWidth="1"/>
    <col min="10435" max="10435" width="10.42578125" customWidth="1"/>
    <col min="10436" max="10436" width="7.42578125" customWidth="1"/>
    <col min="10437" max="10437" width="11.42578125" customWidth="1"/>
    <col min="10438" max="10439" width="12.42578125" customWidth="1"/>
    <col min="10440" max="10440" width="11.42578125" customWidth="1"/>
    <col min="10441" max="10442" width="8.42578125" customWidth="1"/>
    <col min="10443" max="10443" width="17.42578125" customWidth="1"/>
    <col min="10444" max="10444" width="12.42578125" customWidth="1"/>
    <col min="10445" max="10446" width="8.42578125" customWidth="1"/>
    <col min="10447" max="10447" width="44" customWidth="1"/>
    <col min="10449" max="10449" width="7.42578125" customWidth="1"/>
    <col min="10450" max="10450" width="11.42578125" customWidth="1"/>
    <col min="10451" max="10452" width="12.42578125" customWidth="1"/>
    <col min="10453" max="10453" width="11.42578125" customWidth="1"/>
    <col min="10454" max="10455" width="8.42578125" customWidth="1"/>
    <col min="10456" max="10456" width="17.42578125" customWidth="1"/>
    <col min="10457" max="10457" width="12.42578125" customWidth="1"/>
    <col min="10458" max="10459" width="8.42578125" customWidth="1"/>
    <col min="10460" max="10460" width="44" customWidth="1"/>
    <col min="10463" max="10463" width="7.42578125" customWidth="1"/>
    <col min="10464" max="10464" width="11.42578125" customWidth="1"/>
    <col min="10465" max="10466" width="12.42578125" customWidth="1"/>
    <col min="10467" max="10467" width="11.42578125" customWidth="1"/>
    <col min="10468" max="10469" width="8.42578125" customWidth="1"/>
    <col min="10470" max="10470" width="17.42578125" customWidth="1"/>
    <col min="10471" max="10471" width="12.42578125" customWidth="1"/>
    <col min="10472" max="10473" width="8.42578125" customWidth="1"/>
    <col min="10474" max="10474" width="43.42578125" customWidth="1"/>
    <col min="10476" max="10476" width="7.42578125" customWidth="1"/>
    <col min="10477" max="10477" width="11.42578125" customWidth="1"/>
    <col min="10478" max="10479" width="12.42578125" customWidth="1"/>
    <col min="10480" max="10480" width="11.42578125" customWidth="1"/>
    <col min="10481" max="10481" width="8.42578125" customWidth="1"/>
    <col min="10482" max="10482" width="8.42578125" bestFit="1" customWidth="1"/>
    <col min="10483" max="10483" width="17.42578125" bestFit="1" customWidth="1"/>
    <col min="10484" max="10484" width="12.42578125" bestFit="1" customWidth="1"/>
    <col min="10485" max="10486" width="8.42578125" customWidth="1"/>
    <col min="10487" max="10487" width="44" customWidth="1"/>
    <col min="10673" max="10673" width="22.42578125" bestFit="1" customWidth="1"/>
    <col min="10674" max="10674" width="8.42578125" customWidth="1"/>
    <col min="10675" max="10675" width="29.42578125" customWidth="1"/>
    <col min="10676" max="10676" width="7" customWidth="1"/>
    <col min="10677" max="10677" width="22.42578125" bestFit="1" customWidth="1"/>
    <col min="10678" max="10678" width="62.42578125" customWidth="1"/>
    <col min="10679" max="10679" width="2.42578125" customWidth="1"/>
    <col min="10680" max="10680" width="7" customWidth="1"/>
    <col min="10681" max="10681" width="11.42578125" customWidth="1"/>
    <col min="10682" max="10683" width="12.42578125" customWidth="1"/>
    <col min="10684" max="10686" width="8.42578125" customWidth="1"/>
    <col min="10687" max="10687" width="12.42578125" customWidth="1"/>
    <col min="10688" max="10689" width="8.42578125" customWidth="1"/>
    <col min="10690" max="10690" width="44" customWidth="1"/>
    <col min="10691" max="10691" width="10.42578125" customWidth="1"/>
    <col min="10692" max="10692" width="7.42578125" customWidth="1"/>
    <col min="10693" max="10693" width="11.42578125" customWidth="1"/>
    <col min="10694" max="10695" width="12.42578125" customWidth="1"/>
    <col min="10696" max="10696" width="11.42578125" customWidth="1"/>
    <col min="10697" max="10698" width="8.42578125" customWidth="1"/>
    <col min="10699" max="10699" width="17.42578125" customWidth="1"/>
    <col min="10700" max="10700" width="12.42578125" customWidth="1"/>
    <col min="10701" max="10702" width="8.42578125" customWidth="1"/>
    <col min="10703" max="10703" width="44" customWidth="1"/>
    <col min="10705" max="10705" width="7.42578125" customWidth="1"/>
    <col min="10706" max="10706" width="11.42578125" customWidth="1"/>
    <col min="10707" max="10708" width="12.42578125" customWidth="1"/>
    <col min="10709" max="10709" width="11.42578125" customWidth="1"/>
    <col min="10710" max="10711" width="8.42578125" customWidth="1"/>
    <col min="10712" max="10712" width="17.42578125" customWidth="1"/>
    <col min="10713" max="10713" width="12.42578125" customWidth="1"/>
    <col min="10714" max="10715" width="8.42578125" customWidth="1"/>
    <col min="10716" max="10716" width="44" customWidth="1"/>
    <col min="10719" max="10719" width="7.42578125" customWidth="1"/>
    <col min="10720" max="10720" width="11.42578125" customWidth="1"/>
    <col min="10721" max="10722" width="12.42578125" customWidth="1"/>
    <col min="10723" max="10723" width="11.42578125" customWidth="1"/>
    <col min="10724" max="10725" width="8.42578125" customWidth="1"/>
    <col min="10726" max="10726" width="17.42578125" customWidth="1"/>
    <col min="10727" max="10727" width="12.42578125" customWidth="1"/>
    <col min="10728" max="10729" width="8.42578125" customWidth="1"/>
    <col min="10730" max="10730" width="43.42578125" customWidth="1"/>
    <col min="10732" max="10732" width="7.42578125" customWidth="1"/>
    <col min="10733" max="10733" width="11.42578125" customWidth="1"/>
    <col min="10734" max="10735" width="12.42578125" customWidth="1"/>
    <col min="10736" max="10736" width="11.42578125" customWidth="1"/>
    <col min="10737" max="10737" width="8.42578125" customWidth="1"/>
    <col min="10738" max="10738" width="8.42578125" bestFit="1" customWidth="1"/>
    <col min="10739" max="10739" width="17.42578125" bestFit="1" customWidth="1"/>
    <col min="10740" max="10740" width="12.42578125" bestFit="1" customWidth="1"/>
    <col min="10741" max="10742" width="8.42578125" customWidth="1"/>
    <col min="10743" max="10743" width="44" customWidth="1"/>
    <col min="10929" max="10929" width="22.42578125" bestFit="1" customWidth="1"/>
    <col min="10930" max="10930" width="8.42578125" customWidth="1"/>
    <col min="10931" max="10931" width="29.42578125" customWidth="1"/>
    <col min="10932" max="10932" width="7" customWidth="1"/>
    <col min="10933" max="10933" width="22.42578125" bestFit="1" customWidth="1"/>
    <col min="10934" max="10934" width="62.42578125" customWidth="1"/>
    <col min="10935" max="10935" width="2.42578125" customWidth="1"/>
    <col min="10936" max="10936" width="7" customWidth="1"/>
    <col min="10937" max="10937" width="11.42578125" customWidth="1"/>
    <col min="10938" max="10939" width="12.42578125" customWidth="1"/>
    <col min="10940" max="10942" width="8.42578125" customWidth="1"/>
    <col min="10943" max="10943" width="12.42578125" customWidth="1"/>
    <col min="10944" max="10945" width="8.42578125" customWidth="1"/>
    <col min="10946" max="10946" width="44" customWidth="1"/>
    <col min="10947" max="10947" width="10.42578125" customWidth="1"/>
    <col min="10948" max="10948" width="7.42578125" customWidth="1"/>
    <col min="10949" max="10949" width="11.42578125" customWidth="1"/>
    <col min="10950" max="10951" width="12.42578125" customWidth="1"/>
    <col min="10952" max="10952" width="11.42578125" customWidth="1"/>
    <col min="10953" max="10954" width="8.42578125" customWidth="1"/>
    <col min="10955" max="10955" width="17.42578125" customWidth="1"/>
    <col min="10956" max="10956" width="12.42578125" customWidth="1"/>
    <col min="10957" max="10958" width="8.42578125" customWidth="1"/>
    <col min="10959" max="10959" width="44" customWidth="1"/>
    <col min="10961" max="10961" width="7.42578125" customWidth="1"/>
    <col min="10962" max="10962" width="11.42578125" customWidth="1"/>
    <col min="10963" max="10964" width="12.42578125" customWidth="1"/>
    <col min="10965" max="10965" width="11.42578125" customWidth="1"/>
    <col min="10966" max="10967" width="8.42578125" customWidth="1"/>
    <col min="10968" max="10968" width="17.42578125" customWidth="1"/>
    <col min="10969" max="10969" width="12.42578125" customWidth="1"/>
    <col min="10970" max="10971" width="8.42578125" customWidth="1"/>
    <col min="10972" max="10972" width="44" customWidth="1"/>
    <col min="10975" max="10975" width="7.42578125" customWidth="1"/>
    <col min="10976" max="10976" width="11.42578125" customWidth="1"/>
    <col min="10977" max="10978" width="12.42578125" customWidth="1"/>
    <col min="10979" max="10979" width="11.42578125" customWidth="1"/>
    <col min="10980" max="10981" width="8.42578125" customWidth="1"/>
    <col min="10982" max="10982" width="17.42578125" customWidth="1"/>
    <col min="10983" max="10983" width="12.42578125" customWidth="1"/>
    <col min="10984" max="10985" width="8.42578125" customWidth="1"/>
    <col min="10986" max="10986" width="43.42578125" customWidth="1"/>
    <col min="10988" max="10988" width="7.42578125" customWidth="1"/>
    <col min="10989" max="10989" width="11.42578125" customWidth="1"/>
    <col min="10990" max="10991" width="12.42578125" customWidth="1"/>
    <col min="10992" max="10992" width="11.42578125" customWidth="1"/>
    <col min="10993" max="10993" width="8.42578125" customWidth="1"/>
    <col min="10994" max="10994" width="8.42578125" bestFit="1" customWidth="1"/>
    <col min="10995" max="10995" width="17.42578125" bestFit="1" customWidth="1"/>
    <col min="10996" max="10996" width="12.42578125" bestFit="1" customWidth="1"/>
    <col min="10997" max="10998" width="8.42578125" customWidth="1"/>
    <col min="10999" max="10999" width="44" customWidth="1"/>
    <col min="11185" max="11185" width="22.42578125" bestFit="1" customWidth="1"/>
    <col min="11186" max="11186" width="8.42578125" customWidth="1"/>
    <col min="11187" max="11187" width="29.42578125" customWidth="1"/>
    <col min="11188" max="11188" width="7" customWidth="1"/>
    <col min="11189" max="11189" width="22.42578125" bestFit="1" customWidth="1"/>
    <col min="11190" max="11190" width="62.42578125" customWidth="1"/>
    <col min="11191" max="11191" width="2.42578125" customWidth="1"/>
    <col min="11192" max="11192" width="7" customWidth="1"/>
    <col min="11193" max="11193" width="11.42578125" customWidth="1"/>
    <col min="11194" max="11195" width="12.42578125" customWidth="1"/>
    <col min="11196" max="11198" width="8.42578125" customWidth="1"/>
    <col min="11199" max="11199" width="12.42578125" customWidth="1"/>
    <col min="11200" max="11201" width="8.42578125" customWidth="1"/>
    <col min="11202" max="11202" width="44" customWidth="1"/>
    <col min="11203" max="11203" width="10.42578125" customWidth="1"/>
    <col min="11204" max="11204" width="7.42578125" customWidth="1"/>
    <col min="11205" max="11205" width="11.42578125" customWidth="1"/>
    <col min="11206" max="11207" width="12.42578125" customWidth="1"/>
    <col min="11208" max="11208" width="11.42578125" customWidth="1"/>
    <col min="11209" max="11210" width="8.42578125" customWidth="1"/>
    <col min="11211" max="11211" width="17.42578125" customWidth="1"/>
    <col min="11212" max="11212" width="12.42578125" customWidth="1"/>
    <col min="11213" max="11214" width="8.42578125" customWidth="1"/>
    <col min="11215" max="11215" width="44" customWidth="1"/>
    <col min="11217" max="11217" width="7.42578125" customWidth="1"/>
    <col min="11218" max="11218" width="11.42578125" customWidth="1"/>
    <col min="11219" max="11220" width="12.42578125" customWidth="1"/>
    <col min="11221" max="11221" width="11.42578125" customWidth="1"/>
    <col min="11222" max="11223" width="8.42578125" customWidth="1"/>
    <col min="11224" max="11224" width="17.42578125" customWidth="1"/>
    <col min="11225" max="11225" width="12.42578125" customWidth="1"/>
    <col min="11226" max="11227" width="8.42578125" customWidth="1"/>
    <col min="11228" max="11228" width="44" customWidth="1"/>
    <col min="11231" max="11231" width="7.42578125" customWidth="1"/>
    <col min="11232" max="11232" width="11.42578125" customWidth="1"/>
    <col min="11233" max="11234" width="12.42578125" customWidth="1"/>
    <col min="11235" max="11235" width="11.42578125" customWidth="1"/>
    <col min="11236" max="11237" width="8.42578125" customWidth="1"/>
    <col min="11238" max="11238" width="17.42578125" customWidth="1"/>
    <col min="11239" max="11239" width="12.42578125" customWidth="1"/>
    <col min="11240" max="11241" width="8.42578125" customWidth="1"/>
    <col min="11242" max="11242" width="43.42578125" customWidth="1"/>
    <col min="11244" max="11244" width="7.42578125" customWidth="1"/>
    <col min="11245" max="11245" width="11.42578125" customWidth="1"/>
    <col min="11246" max="11247" width="12.42578125" customWidth="1"/>
    <col min="11248" max="11248" width="11.42578125" customWidth="1"/>
    <col min="11249" max="11249" width="8.42578125" customWidth="1"/>
    <col min="11250" max="11250" width="8.42578125" bestFit="1" customWidth="1"/>
    <col min="11251" max="11251" width="17.42578125" bestFit="1" customWidth="1"/>
    <col min="11252" max="11252" width="12.42578125" bestFit="1" customWidth="1"/>
    <col min="11253" max="11254" width="8.42578125" customWidth="1"/>
    <col min="11255" max="11255" width="44" customWidth="1"/>
    <col min="11441" max="11441" width="22.42578125" bestFit="1" customWidth="1"/>
    <col min="11442" max="11442" width="8.42578125" customWidth="1"/>
    <col min="11443" max="11443" width="29.42578125" customWidth="1"/>
    <col min="11444" max="11444" width="7" customWidth="1"/>
    <col min="11445" max="11445" width="22.42578125" bestFit="1" customWidth="1"/>
    <col min="11446" max="11446" width="62.42578125" customWidth="1"/>
    <col min="11447" max="11447" width="2.42578125" customWidth="1"/>
    <col min="11448" max="11448" width="7" customWidth="1"/>
    <col min="11449" max="11449" width="11.42578125" customWidth="1"/>
    <col min="11450" max="11451" width="12.42578125" customWidth="1"/>
    <col min="11452" max="11454" width="8.42578125" customWidth="1"/>
    <col min="11455" max="11455" width="12.42578125" customWidth="1"/>
    <col min="11456" max="11457" width="8.42578125" customWidth="1"/>
    <col min="11458" max="11458" width="44" customWidth="1"/>
    <col min="11459" max="11459" width="10.42578125" customWidth="1"/>
    <col min="11460" max="11460" width="7.42578125" customWidth="1"/>
    <col min="11461" max="11461" width="11.42578125" customWidth="1"/>
    <col min="11462" max="11463" width="12.42578125" customWidth="1"/>
    <col min="11464" max="11464" width="11.42578125" customWidth="1"/>
    <col min="11465" max="11466" width="8.42578125" customWidth="1"/>
    <col min="11467" max="11467" width="17.42578125" customWidth="1"/>
    <col min="11468" max="11468" width="12.42578125" customWidth="1"/>
    <col min="11469" max="11470" width="8.42578125" customWidth="1"/>
    <col min="11471" max="11471" width="44" customWidth="1"/>
    <col min="11473" max="11473" width="7.42578125" customWidth="1"/>
    <col min="11474" max="11474" width="11.42578125" customWidth="1"/>
    <col min="11475" max="11476" width="12.42578125" customWidth="1"/>
    <col min="11477" max="11477" width="11.42578125" customWidth="1"/>
    <col min="11478" max="11479" width="8.42578125" customWidth="1"/>
    <col min="11480" max="11480" width="17.42578125" customWidth="1"/>
    <col min="11481" max="11481" width="12.42578125" customWidth="1"/>
    <col min="11482" max="11483" width="8.42578125" customWidth="1"/>
    <col min="11484" max="11484" width="44" customWidth="1"/>
    <col min="11487" max="11487" width="7.42578125" customWidth="1"/>
    <col min="11488" max="11488" width="11.42578125" customWidth="1"/>
    <col min="11489" max="11490" width="12.42578125" customWidth="1"/>
    <col min="11491" max="11491" width="11.42578125" customWidth="1"/>
    <col min="11492" max="11493" width="8.42578125" customWidth="1"/>
    <col min="11494" max="11494" width="17.42578125" customWidth="1"/>
    <col min="11495" max="11495" width="12.42578125" customWidth="1"/>
    <col min="11496" max="11497" width="8.42578125" customWidth="1"/>
    <col min="11498" max="11498" width="43.42578125" customWidth="1"/>
    <col min="11500" max="11500" width="7.42578125" customWidth="1"/>
    <col min="11501" max="11501" width="11.42578125" customWidth="1"/>
    <col min="11502" max="11503" width="12.42578125" customWidth="1"/>
    <col min="11504" max="11504" width="11.42578125" customWidth="1"/>
    <col min="11505" max="11505" width="8.42578125" customWidth="1"/>
    <col min="11506" max="11506" width="8.42578125" bestFit="1" customWidth="1"/>
    <col min="11507" max="11507" width="17.42578125" bestFit="1" customWidth="1"/>
    <col min="11508" max="11508" width="12.42578125" bestFit="1" customWidth="1"/>
    <col min="11509" max="11510" width="8.42578125" customWidth="1"/>
    <col min="11511" max="11511" width="44" customWidth="1"/>
    <col min="11697" max="11697" width="22.42578125" bestFit="1" customWidth="1"/>
    <col min="11698" max="11698" width="8.42578125" customWidth="1"/>
    <col min="11699" max="11699" width="29.42578125" customWidth="1"/>
    <col min="11700" max="11700" width="7" customWidth="1"/>
    <col min="11701" max="11701" width="22.42578125" bestFit="1" customWidth="1"/>
    <col min="11702" max="11702" width="62.42578125" customWidth="1"/>
    <col min="11703" max="11703" width="2.42578125" customWidth="1"/>
    <col min="11704" max="11704" width="7" customWidth="1"/>
    <col min="11705" max="11705" width="11.42578125" customWidth="1"/>
    <col min="11706" max="11707" width="12.42578125" customWidth="1"/>
    <col min="11708" max="11710" width="8.42578125" customWidth="1"/>
    <col min="11711" max="11711" width="12.42578125" customWidth="1"/>
    <col min="11712" max="11713" width="8.42578125" customWidth="1"/>
    <col min="11714" max="11714" width="44" customWidth="1"/>
    <col min="11715" max="11715" width="10.42578125" customWidth="1"/>
    <col min="11716" max="11716" width="7.42578125" customWidth="1"/>
    <col min="11717" max="11717" width="11.42578125" customWidth="1"/>
    <col min="11718" max="11719" width="12.42578125" customWidth="1"/>
    <col min="11720" max="11720" width="11.42578125" customWidth="1"/>
    <col min="11721" max="11722" width="8.42578125" customWidth="1"/>
    <col min="11723" max="11723" width="17.42578125" customWidth="1"/>
    <col min="11724" max="11724" width="12.42578125" customWidth="1"/>
    <col min="11725" max="11726" width="8.42578125" customWidth="1"/>
    <col min="11727" max="11727" width="44" customWidth="1"/>
    <col min="11729" max="11729" width="7.42578125" customWidth="1"/>
    <col min="11730" max="11730" width="11.42578125" customWidth="1"/>
    <col min="11731" max="11732" width="12.42578125" customWidth="1"/>
    <col min="11733" max="11733" width="11.42578125" customWidth="1"/>
    <col min="11734" max="11735" width="8.42578125" customWidth="1"/>
    <col min="11736" max="11736" width="17.42578125" customWidth="1"/>
    <col min="11737" max="11737" width="12.42578125" customWidth="1"/>
    <col min="11738" max="11739" width="8.42578125" customWidth="1"/>
    <col min="11740" max="11740" width="44" customWidth="1"/>
    <col min="11743" max="11743" width="7.42578125" customWidth="1"/>
    <col min="11744" max="11744" width="11.42578125" customWidth="1"/>
    <col min="11745" max="11746" width="12.42578125" customWidth="1"/>
    <col min="11747" max="11747" width="11.42578125" customWidth="1"/>
    <col min="11748" max="11749" width="8.42578125" customWidth="1"/>
    <col min="11750" max="11750" width="17.42578125" customWidth="1"/>
    <col min="11751" max="11751" width="12.42578125" customWidth="1"/>
    <col min="11752" max="11753" width="8.42578125" customWidth="1"/>
    <col min="11754" max="11754" width="43.42578125" customWidth="1"/>
    <col min="11756" max="11756" width="7.42578125" customWidth="1"/>
    <col min="11757" max="11757" width="11.42578125" customWidth="1"/>
    <col min="11758" max="11759" width="12.42578125" customWidth="1"/>
    <col min="11760" max="11760" width="11.42578125" customWidth="1"/>
    <col min="11761" max="11761" width="8.42578125" customWidth="1"/>
    <col min="11762" max="11762" width="8.42578125" bestFit="1" customWidth="1"/>
    <col min="11763" max="11763" width="17.42578125" bestFit="1" customWidth="1"/>
    <col min="11764" max="11764" width="12.42578125" bestFit="1" customWidth="1"/>
    <col min="11765" max="11766" width="8.42578125" customWidth="1"/>
    <col min="11767" max="11767" width="44" customWidth="1"/>
    <col min="11953" max="11953" width="22.42578125" bestFit="1" customWidth="1"/>
    <col min="11954" max="11954" width="8.42578125" customWidth="1"/>
    <col min="11955" max="11955" width="29.42578125" customWidth="1"/>
    <col min="11956" max="11956" width="7" customWidth="1"/>
    <col min="11957" max="11957" width="22.42578125" bestFit="1" customWidth="1"/>
    <col min="11958" max="11958" width="62.42578125" customWidth="1"/>
    <col min="11959" max="11959" width="2.42578125" customWidth="1"/>
    <col min="11960" max="11960" width="7" customWidth="1"/>
    <col min="11961" max="11961" width="11.42578125" customWidth="1"/>
    <col min="11962" max="11963" width="12.42578125" customWidth="1"/>
    <col min="11964" max="11966" width="8.42578125" customWidth="1"/>
    <col min="11967" max="11967" width="12.42578125" customWidth="1"/>
    <col min="11968" max="11969" width="8.42578125" customWidth="1"/>
    <col min="11970" max="11970" width="44" customWidth="1"/>
    <col min="11971" max="11971" width="10.42578125" customWidth="1"/>
    <col min="11972" max="11972" width="7.42578125" customWidth="1"/>
    <col min="11973" max="11973" width="11.42578125" customWidth="1"/>
    <col min="11974" max="11975" width="12.42578125" customWidth="1"/>
    <col min="11976" max="11976" width="11.42578125" customWidth="1"/>
    <col min="11977" max="11978" width="8.42578125" customWidth="1"/>
    <col min="11979" max="11979" width="17.42578125" customWidth="1"/>
    <col min="11980" max="11980" width="12.42578125" customWidth="1"/>
    <col min="11981" max="11982" width="8.42578125" customWidth="1"/>
    <col min="11983" max="11983" width="44" customWidth="1"/>
    <col min="11985" max="11985" width="7.42578125" customWidth="1"/>
    <col min="11986" max="11986" width="11.42578125" customWidth="1"/>
    <col min="11987" max="11988" width="12.42578125" customWidth="1"/>
    <col min="11989" max="11989" width="11.42578125" customWidth="1"/>
    <col min="11990" max="11991" width="8.42578125" customWidth="1"/>
    <col min="11992" max="11992" width="17.42578125" customWidth="1"/>
    <col min="11993" max="11993" width="12.42578125" customWidth="1"/>
    <col min="11994" max="11995" width="8.42578125" customWidth="1"/>
    <col min="11996" max="11996" width="44" customWidth="1"/>
    <col min="11999" max="11999" width="7.42578125" customWidth="1"/>
    <col min="12000" max="12000" width="11.42578125" customWidth="1"/>
    <col min="12001" max="12002" width="12.42578125" customWidth="1"/>
    <col min="12003" max="12003" width="11.42578125" customWidth="1"/>
    <col min="12004" max="12005" width="8.42578125" customWidth="1"/>
    <col min="12006" max="12006" width="17.42578125" customWidth="1"/>
    <col min="12007" max="12007" width="12.42578125" customWidth="1"/>
    <col min="12008" max="12009" width="8.42578125" customWidth="1"/>
    <col min="12010" max="12010" width="43.42578125" customWidth="1"/>
    <col min="12012" max="12012" width="7.42578125" customWidth="1"/>
    <col min="12013" max="12013" width="11.42578125" customWidth="1"/>
    <col min="12014" max="12015" width="12.42578125" customWidth="1"/>
    <col min="12016" max="12016" width="11.42578125" customWidth="1"/>
    <col min="12017" max="12017" width="8.42578125" customWidth="1"/>
    <col min="12018" max="12018" width="8.42578125" bestFit="1" customWidth="1"/>
    <col min="12019" max="12019" width="17.42578125" bestFit="1" customWidth="1"/>
    <col min="12020" max="12020" width="12.42578125" bestFit="1" customWidth="1"/>
    <col min="12021" max="12022" width="8.42578125" customWidth="1"/>
    <col min="12023" max="12023" width="44" customWidth="1"/>
    <col min="12209" max="12209" width="22.42578125" bestFit="1" customWidth="1"/>
    <col min="12210" max="12210" width="8.42578125" customWidth="1"/>
    <col min="12211" max="12211" width="29.42578125" customWidth="1"/>
    <col min="12212" max="12212" width="7" customWidth="1"/>
    <col min="12213" max="12213" width="22.42578125" bestFit="1" customWidth="1"/>
    <col min="12214" max="12214" width="62.42578125" customWidth="1"/>
    <col min="12215" max="12215" width="2.42578125" customWidth="1"/>
    <col min="12216" max="12216" width="7" customWidth="1"/>
    <col min="12217" max="12217" width="11.42578125" customWidth="1"/>
    <col min="12218" max="12219" width="12.42578125" customWidth="1"/>
    <col min="12220" max="12222" width="8.42578125" customWidth="1"/>
    <col min="12223" max="12223" width="12.42578125" customWidth="1"/>
    <col min="12224" max="12225" width="8.42578125" customWidth="1"/>
    <col min="12226" max="12226" width="44" customWidth="1"/>
    <col min="12227" max="12227" width="10.42578125" customWidth="1"/>
    <col min="12228" max="12228" width="7.42578125" customWidth="1"/>
    <col min="12229" max="12229" width="11.42578125" customWidth="1"/>
    <col min="12230" max="12231" width="12.42578125" customWidth="1"/>
    <col min="12232" max="12232" width="11.42578125" customWidth="1"/>
    <col min="12233" max="12234" width="8.42578125" customWidth="1"/>
    <col min="12235" max="12235" width="17.42578125" customWidth="1"/>
    <col min="12236" max="12236" width="12.42578125" customWidth="1"/>
    <col min="12237" max="12238" width="8.42578125" customWidth="1"/>
    <col min="12239" max="12239" width="44" customWidth="1"/>
    <col min="12241" max="12241" width="7.42578125" customWidth="1"/>
    <col min="12242" max="12242" width="11.42578125" customWidth="1"/>
    <col min="12243" max="12244" width="12.42578125" customWidth="1"/>
    <col min="12245" max="12245" width="11.42578125" customWidth="1"/>
    <col min="12246" max="12247" width="8.42578125" customWidth="1"/>
    <col min="12248" max="12248" width="17.42578125" customWidth="1"/>
    <col min="12249" max="12249" width="12.42578125" customWidth="1"/>
    <col min="12250" max="12251" width="8.42578125" customWidth="1"/>
    <col min="12252" max="12252" width="44" customWidth="1"/>
    <col min="12255" max="12255" width="7.42578125" customWidth="1"/>
    <col min="12256" max="12256" width="11.42578125" customWidth="1"/>
    <col min="12257" max="12258" width="12.42578125" customWidth="1"/>
    <col min="12259" max="12259" width="11.42578125" customWidth="1"/>
    <col min="12260" max="12261" width="8.42578125" customWidth="1"/>
    <col min="12262" max="12262" width="17.42578125" customWidth="1"/>
    <col min="12263" max="12263" width="12.42578125" customWidth="1"/>
    <col min="12264" max="12265" width="8.42578125" customWidth="1"/>
    <col min="12266" max="12266" width="43.42578125" customWidth="1"/>
    <col min="12268" max="12268" width="7.42578125" customWidth="1"/>
    <col min="12269" max="12269" width="11.42578125" customWidth="1"/>
    <col min="12270" max="12271" width="12.42578125" customWidth="1"/>
    <col min="12272" max="12272" width="11.42578125" customWidth="1"/>
    <col min="12273" max="12273" width="8.42578125" customWidth="1"/>
    <col min="12274" max="12274" width="8.42578125" bestFit="1" customWidth="1"/>
    <col min="12275" max="12275" width="17.42578125" bestFit="1" customWidth="1"/>
    <col min="12276" max="12276" width="12.42578125" bestFit="1" customWidth="1"/>
    <col min="12277" max="12278" width="8.42578125" customWidth="1"/>
    <col min="12279" max="12279" width="44" customWidth="1"/>
    <col min="12465" max="12465" width="22.42578125" bestFit="1" customWidth="1"/>
    <col min="12466" max="12466" width="8.42578125" customWidth="1"/>
    <col min="12467" max="12467" width="29.42578125" customWidth="1"/>
    <col min="12468" max="12468" width="7" customWidth="1"/>
    <col min="12469" max="12469" width="22.42578125" bestFit="1" customWidth="1"/>
    <col min="12470" max="12470" width="62.42578125" customWidth="1"/>
    <col min="12471" max="12471" width="2.42578125" customWidth="1"/>
    <col min="12472" max="12472" width="7" customWidth="1"/>
    <col min="12473" max="12473" width="11.42578125" customWidth="1"/>
    <col min="12474" max="12475" width="12.42578125" customWidth="1"/>
    <col min="12476" max="12478" width="8.42578125" customWidth="1"/>
    <col min="12479" max="12479" width="12.42578125" customWidth="1"/>
    <col min="12480" max="12481" width="8.42578125" customWidth="1"/>
    <col min="12482" max="12482" width="44" customWidth="1"/>
    <col min="12483" max="12483" width="10.42578125" customWidth="1"/>
    <col min="12484" max="12484" width="7.42578125" customWidth="1"/>
    <col min="12485" max="12485" width="11.42578125" customWidth="1"/>
    <col min="12486" max="12487" width="12.42578125" customWidth="1"/>
    <col min="12488" max="12488" width="11.42578125" customWidth="1"/>
    <col min="12489" max="12490" width="8.42578125" customWidth="1"/>
    <col min="12491" max="12491" width="17.42578125" customWidth="1"/>
    <col min="12492" max="12492" width="12.42578125" customWidth="1"/>
    <col min="12493" max="12494" width="8.42578125" customWidth="1"/>
    <col min="12495" max="12495" width="44" customWidth="1"/>
    <col min="12497" max="12497" width="7.42578125" customWidth="1"/>
    <col min="12498" max="12498" width="11.42578125" customWidth="1"/>
    <col min="12499" max="12500" width="12.42578125" customWidth="1"/>
    <col min="12501" max="12501" width="11.42578125" customWidth="1"/>
    <col min="12502" max="12503" width="8.42578125" customWidth="1"/>
    <col min="12504" max="12504" width="17.42578125" customWidth="1"/>
    <col min="12505" max="12505" width="12.42578125" customWidth="1"/>
    <col min="12506" max="12507" width="8.42578125" customWidth="1"/>
    <col min="12508" max="12508" width="44" customWidth="1"/>
    <col min="12511" max="12511" width="7.42578125" customWidth="1"/>
    <col min="12512" max="12512" width="11.42578125" customWidth="1"/>
    <col min="12513" max="12514" width="12.42578125" customWidth="1"/>
    <col min="12515" max="12515" width="11.42578125" customWidth="1"/>
    <col min="12516" max="12517" width="8.42578125" customWidth="1"/>
    <col min="12518" max="12518" width="17.42578125" customWidth="1"/>
    <col min="12519" max="12519" width="12.42578125" customWidth="1"/>
    <col min="12520" max="12521" width="8.42578125" customWidth="1"/>
    <col min="12522" max="12522" width="43.42578125" customWidth="1"/>
    <col min="12524" max="12524" width="7.42578125" customWidth="1"/>
    <col min="12525" max="12525" width="11.42578125" customWidth="1"/>
    <col min="12526" max="12527" width="12.42578125" customWidth="1"/>
    <col min="12528" max="12528" width="11.42578125" customWidth="1"/>
    <col min="12529" max="12529" width="8.42578125" customWidth="1"/>
    <col min="12530" max="12530" width="8.42578125" bestFit="1" customWidth="1"/>
    <col min="12531" max="12531" width="17.42578125" bestFit="1" customWidth="1"/>
    <col min="12532" max="12532" width="12.42578125" bestFit="1" customWidth="1"/>
    <col min="12533" max="12534" width="8.42578125" customWidth="1"/>
    <col min="12535" max="12535" width="44" customWidth="1"/>
    <col min="12721" max="12721" width="22.42578125" bestFit="1" customWidth="1"/>
    <col min="12722" max="12722" width="8.42578125" customWidth="1"/>
    <col min="12723" max="12723" width="29.42578125" customWidth="1"/>
    <col min="12724" max="12724" width="7" customWidth="1"/>
    <col min="12725" max="12725" width="22.42578125" bestFit="1" customWidth="1"/>
    <col min="12726" max="12726" width="62.42578125" customWidth="1"/>
    <col min="12727" max="12727" width="2.42578125" customWidth="1"/>
    <col min="12728" max="12728" width="7" customWidth="1"/>
    <col min="12729" max="12729" width="11.42578125" customWidth="1"/>
    <col min="12730" max="12731" width="12.42578125" customWidth="1"/>
    <col min="12732" max="12734" width="8.42578125" customWidth="1"/>
    <col min="12735" max="12735" width="12.42578125" customWidth="1"/>
    <col min="12736" max="12737" width="8.42578125" customWidth="1"/>
    <col min="12738" max="12738" width="44" customWidth="1"/>
    <col min="12739" max="12739" width="10.42578125" customWidth="1"/>
    <col min="12740" max="12740" width="7.42578125" customWidth="1"/>
    <col min="12741" max="12741" width="11.42578125" customWidth="1"/>
    <col min="12742" max="12743" width="12.42578125" customWidth="1"/>
    <col min="12744" max="12744" width="11.42578125" customWidth="1"/>
    <col min="12745" max="12746" width="8.42578125" customWidth="1"/>
    <col min="12747" max="12747" width="17.42578125" customWidth="1"/>
    <col min="12748" max="12748" width="12.42578125" customWidth="1"/>
    <col min="12749" max="12750" width="8.42578125" customWidth="1"/>
    <col min="12751" max="12751" width="44" customWidth="1"/>
    <col min="12753" max="12753" width="7.42578125" customWidth="1"/>
    <col min="12754" max="12754" width="11.42578125" customWidth="1"/>
    <col min="12755" max="12756" width="12.42578125" customWidth="1"/>
    <col min="12757" max="12757" width="11.42578125" customWidth="1"/>
    <col min="12758" max="12759" width="8.42578125" customWidth="1"/>
    <col min="12760" max="12760" width="17.42578125" customWidth="1"/>
    <col min="12761" max="12761" width="12.42578125" customWidth="1"/>
    <col min="12762" max="12763" width="8.42578125" customWidth="1"/>
    <col min="12764" max="12764" width="44" customWidth="1"/>
    <col min="12767" max="12767" width="7.42578125" customWidth="1"/>
    <col min="12768" max="12768" width="11.42578125" customWidth="1"/>
    <col min="12769" max="12770" width="12.42578125" customWidth="1"/>
    <col min="12771" max="12771" width="11.42578125" customWidth="1"/>
    <col min="12772" max="12773" width="8.42578125" customWidth="1"/>
    <col min="12774" max="12774" width="17.42578125" customWidth="1"/>
    <col min="12775" max="12775" width="12.42578125" customWidth="1"/>
    <col min="12776" max="12777" width="8.42578125" customWidth="1"/>
    <col min="12778" max="12778" width="43.42578125" customWidth="1"/>
    <col min="12780" max="12780" width="7.42578125" customWidth="1"/>
    <col min="12781" max="12781" width="11.42578125" customWidth="1"/>
    <col min="12782" max="12783" width="12.42578125" customWidth="1"/>
    <col min="12784" max="12784" width="11.42578125" customWidth="1"/>
    <col min="12785" max="12785" width="8.42578125" customWidth="1"/>
    <col min="12786" max="12786" width="8.42578125" bestFit="1" customWidth="1"/>
    <col min="12787" max="12787" width="17.42578125" bestFit="1" customWidth="1"/>
    <col min="12788" max="12788" width="12.42578125" bestFit="1" customWidth="1"/>
    <col min="12789" max="12790" width="8.42578125" customWidth="1"/>
    <col min="12791" max="12791" width="44" customWidth="1"/>
    <col min="12977" max="12977" width="22.42578125" bestFit="1" customWidth="1"/>
    <col min="12978" max="12978" width="8.42578125" customWidth="1"/>
    <col min="12979" max="12979" width="29.42578125" customWidth="1"/>
    <col min="12980" max="12980" width="7" customWidth="1"/>
    <col min="12981" max="12981" width="22.42578125" bestFit="1" customWidth="1"/>
    <col min="12982" max="12982" width="62.42578125" customWidth="1"/>
    <col min="12983" max="12983" width="2.42578125" customWidth="1"/>
    <col min="12984" max="12984" width="7" customWidth="1"/>
    <col min="12985" max="12985" width="11.42578125" customWidth="1"/>
    <col min="12986" max="12987" width="12.42578125" customWidth="1"/>
    <col min="12988" max="12990" width="8.42578125" customWidth="1"/>
    <col min="12991" max="12991" width="12.42578125" customWidth="1"/>
    <col min="12992" max="12993" width="8.42578125" customWidth="1"/>
    <col min="12994" max="12994" width="44" customWidth="1"/>
    <col min="12995" max="12995" width="10.42578125" customWidth="1"/>
    <col min="12996" max="12996" width="7.42578125" customWidth="1"/>
    <col min="12997" max="12997" width="11.42578125" customWidth="1"/>
    <col min="12998" max="12999" width="12.42578125" customWidth="1"/>
    <col min="13000" max="13000" width="11.42578125" customWidth="1"/>
    <col min="13001" max="13002" width="8.42578125" customWidth="1"/>
    <col min="13003" max="13003" width="17.42578125" customWidth="1"/>
    <col min="13004" max="13004" width="12.42578125" customWidth="1"/>
    <col min="13005" max="13006" width="8.42578125" customWidth="1"/>
    <col min="13007" max="13007" width="44" customWidth="1"/>
    <col min="13009" max="13009" width="7.42578125" customWidth="1"/>
    <col min="13010" max="13010" width="11.42578125" customWidth="1"/>
    <col min="13011" max="13012" width="12.42578125" customWidth="1"/>
    <col min="13013" max="13013" width="11.42578125" customWidth="1"/>
    <col min="13014" max="13015" width="8.42578125" customWidth="1"/>
    <col min="13016" max="13016" width="17.42578125" customWidth="1"/>
    <col min="13017" max="13017" width="12.42578125" customWidth="1"/>
    <col min="13018" max="13019" width="8.42578125" customWidth="1"/>
    <col min="13020" max="13020" width="44" customWidth="1"/>
    <col min="13023" max="13023" width="7.42578125" customWidth="1"/>
    <col min="13024" max="13024" width="11.42578125" customWidth="1"/>
    <col min="13025" max="13026" width="12.42578125" customWidth="1"/>
    <col min="13027" max="13027" width="11.42578125" customWidth="1"/>
    <col min="13028" max="13029" width="8.42578125" customWidth="1"/>
    <col min="13030" max="13030" width="17.42578125" customWidth="1"/>
    <col min="13031" max="13031" width="12.42578125" customWidth="1"/>
    <col min="13032" max="13033" width="8.42578125" customWidth="1"/>
    <col min="13034" max="13034" width="43.42578125" customWidth="1"/>
    <col min="13036" max="13036" width="7.42578125" customWidth="1"/>
    <col min="13037" max="13037" width="11.42578125" customWidth="1"/>
    <col min="13038" max="13039" width="12.42578125" customWidth="1"/>
    <col min="13040" max="13040" width="11.42578125" customWidth="1"/>
    <col min="13041" max="13041" width="8.42578125" customWidth="1"/>
    <col min="13042" max="13042" width="8.42578125" bestFit="1" customWidth="1"/>
    <col min="13043" max="13043" width="17.42578125" bestFit="1" customWidth="1"/>
    <col min="13044" max="13044" width="12.42578125" bestFit="1" customWidth="1"/>
    <col min="13045" max="13046" width="8.42578125" customWidth="1"/>
    <col min="13047" max="13047" width="44" customWidth="1"/>
    <col min="13233" max="13233" width="22.42578125" bestFit="1" customWidth="1"/>
    <col min="13234" max="13234" width="8.42578125" customWidth="1"/>
    <col min="13235" max="13235" width="29.42578125" customWidth="1"/>
    <col min="13236" max="13236" width="7" customWidth="1"/>
    <col min="13237" max="13237" width="22.42578125" bestFit="1" customWidth="1"/>
    <col min="13238" max="13238" width="62.42578125" customWidth="1"/>
    <col min="13239" max="13239" width="2.42578125" customWidth="1"/>
    <col min="13240" max="13240" width="7" customWidth="1"/>
    <col min="13241" max="13241" width="11.42578125" customWidth="1"/>
    <col min="13242" max="13243" width="12.42578125" customWidth="1"/>
    <col min="13244" max="13246" width="8.42578125" customWidth="1"/>
    <col min="13247" max="13247" width="12.42578125" customWidth="1"/>
    <col min="13248" max="13249" width="8.42578125" customWidth="1"/>
    <col min="13250" max="13250" width="44" customWidth="1"/>
    <col min="13251" max="13251" width="10.42578125" customWidth="1"/>
    <col min="13252" max="13252" width="7.42578125" customWidth="1"/>
    <col min="13253" max="13253" width="11.42578125" customWidth="1"/>
    <col min="13254" max="13255" width="12.42578125" customWidth="1"/>
    <col min="13256" max="13256" width="11.42578125" customWidth="1"/>
    <col min="13257" max="13258" width="8.42578125" customWidth="1"/>
    <col min="13259" max="13259" width="17.42578125" customWidth="1"/>
    <col min="13260" max="13260" width="12.42578125" customWidth="1"/>
    <col min="13261" max="13262" width="8.42578125" customWidth="1"/>
    <col min="13263" max="13263" width="44" customWidth="1"/>
    <col min="13265" max="13265" width="7.42578125" customWidth="1"/>
    <col min="13266" max="13266" width="11.42578125" customWidth="1"/>
    <col min="13267" max="13268" width="12.42578125" customWidth="1"/>
    <col min="13269" max="13269" width="11.42578125" customWidth="1"/>
    <col min="13270" max="13271" width="8.42578125" customWidth="1"/>
    <col min="13272" max="13272" width="17.42578125" customWidth="1"/>
    <col min="13273" max="13273" width="12.42578125" customWidth="1"/>
    <col min="13274" max="13275" width="8.42578125" customWidth="1"/>
    <col min="13276" max="13276" width="44" customWidth="1"/>
    <col min="13279" max="13279" width="7.42578125" customWidth="1"/>
    <col min="13280" max="13280" width="11.42578125" customWidth="1"/>
    <col min="13281" max="13282" width="12.42578125" customWidth="1"/>
    <col min="13283" max="13283" width="11.42578125" customWidth="1"/>
    <col min="13284" max="13285" width="8.42578125" customWidth="1"/>
    <col min="13286" max="13286" width="17.42578125" customWidth="1"/>
    <col min="13287" max="13287" width="12.42578125" customWidth="1"/>
    <col min="13288" max="13289" width="8.42578125" customWidth="1"/>
    <col min="13290" max="13290" width="43.42578125" customWidth="1"/>
    <col min="13292" max="13292" width="7.42578125" customWidth="1"/>
    <col min="13293" max="13293" width="11.42578125" customWidth="1"/>
    <col min="13294" max="13295" width="12.42578125" customWidth="1"/>
    <col min="13296" max="13296" width="11.42578125" customWidth="1"/>
    <col min="13297" max="13297" width="8.42578125" customWidth="1"/>
    <col min="13298" max="13298" width="8.42578125" bestFit="1" customWidth="1"/>
    <col min="13299" max="13299" width="17.42578125" bestFit="1" customWidth="1"/>
    <col min="13300" max="13300" width="12.42578125" bestFit="1" customWidth="1"/>
    <col min="13301" max="13302" width="8.42578125" customWidth="1"/>
    <col min="13303" max="13303" width="44" customWidth="1"/>
    <col min="13489" max="13489" width="22.42578125" bestFit="1" customWidth="1"/>
    <col min="13490" max="13490" width="8.42578125" customWidth="1"/>
    <col min="13491" max="13491" width="29.42578125" customWidth="1"/>
    <col min="13492" max="13492" width="7" customWidth="1"/>
    <col min="13493" max="13493" width="22.42578125" bestFit="1" customWidth="1"/>
    <col min="13494" max="13494" width="62.42578125" customWidth="1"/>
    <col min="13495" max="13495" width="2.42578125" customWidth="1"/>
    <col min="13496" max="13496" width="7" customWidth="1"/>
    <col min="13497" max="13497" width="11.42578125" customWidth="1"/>
    <col min="13498" max="13499" width="12.42578125" customWidth="1"/>
    <col min="13500" max="13502" width="8.42578125" customWidth="1"/>
    <col min="13503" max="13503" width="12.42578125" customWidth="1"/>
    <col min="13504" max="13505" width="8.42578125" customWidth="1"/>
    <col min="13506" max="13506" width="44" customWidth="1"/>
    <col min="13507" max="13507" width="10.42578125" customWidth="1"/>
    <col min="13508" max="13508" width="7.42578125" customWidth="1"/>
    <col min="13509" max="13509" width="11.42578125" customWidth="1"/>
    <col min="13510" max="13511" width="12.42578125" customWidth="1"/>
    <col min="13512" max="13512" width="11.42578125" customWidth="1"/>
    <col min="13513" max="13514" width="8.42578125" customWidth="1"/>
    <col min="13515" max="13515" width="17.42578125" customWidth="1"/>
    <col min="13516" max="13516" width="12.42578125" customWidth="1"/>
    <col min="13517" max="13518" width="8.42578125" customWidth="1"/>
    <col min="13519" max="13519" width="44" customWidth="1"/>
    <col min="13521" max="13521" width="7.42578125" customWidth="1"/>
    <col min="13522" max="13522" width="11.42578125" customWidth="1"/>
    <col min="13523" max="13524" width="12.42578125" customWidth="1"/>
    <col min="13525" max="13525" width="11.42578125" customWidth="1"/>
    <col min="13526" max="13527" width="8.42578125" customWidth="1"/>
    <col min="13528" max="13528" width="17.42578125" customWidth="1"/>
    <col min="13529" max="13529" width="12.42578125" customWidth="1"/>
    <col min="13530" max="13531" width="8.42578125" customWidth="1"/>
    <col min="13532" max="13532" width="44" customWidth="1"/>
    <col min="13535" max="13535" width="7.42578125" customWidth="1"/>
    <col min="13536" max="13536" width="11.42578125" customWidth="1"/>
    <col min="13537" max="13538" width="12.42578125" customWidth="1"/>
    <col min="13539" max="13539" width="11.42578125" customWidth="1"/>
    <col min="13540" max="13541" width="8.42578125" customWidth="1"/>
    <col min="13542" max="13542" width="17.42578125" customWidth="1"/>
    <col min="13543" max="13543" width="12.42578125" customWidth="1"/>
    <col min="13544" max="13545" width="8.42578125" customWidth="1"/>
    <col min="13546" max="13546" width="43.42578125" customWidth="1"/>
    <col min="13548" max="13548" width="7.42578125" customWidth="1"/>
    <col min="13549" max="13549" width="11.42578125" customWidth="1"/>
    <col min="13550" max="13551" width="12.42578125" customWidth="1"/>
    <col min="13552" max="13552" width="11.42578125" customWidth="1"/>
    <col min="13553" max="13553" width="8.42578125" customWidth="1"/>
    <col min="13554" max="13554" width="8.42578125" bestFit="1" customWidth="1"/>
    <col min="13555" max="13555" width="17.42578125" bestFit="1" customWidth="1"/>
    <col min="13556" max="13556" width="12.42578125" bestFit="1" customWidth="1"/>
    <col min="13557" max="13558" width="8.42578125" customWidth="1"/>
    <col min="13559" max="13559" width="44" customWidth="1"/>
    <col min="13745" max="13745" width="22.42578125" bestFit="1" customWidth="1"/>
    <col min="13746" max="13746" width="8.42578125" customWidth="1"/>
    <col min="13747" max="13747" width="29.42578125" customWidth="1"/>
    <col min="13748" max="13748" width="7" customWidth="1"/>
    <col min="13749" max="13749" width="22.42578125" bestFit="1" customWidth="1"/>
    <col min="13750" max="13750" width="62.42578125" customWidth="1"/>
    <col min="13751" max="13751" width="2.42578125" customWidth="1"/>
    <col min="13752" max="13752" width="7" customWidth="1"/>
    <col min="13753" max="13753" width="11.42578125" customWidth="1"/>
    <col min="13754" max="13755" width="12.42578125" customWidth="1"/>
    <col min="13756" max="13758" width="8.42578125" customWidth="1"/>
    <col min="13759" max="13759" width="12.42578125" customWidth="1"/>
    <col min="13760" max="13761" width="8.42578125" customWidth="1"/>
    <col min="13762" max="13762" width="44" customWidth="1"/>
    <col min="13763" max="13763" width="10.42578125" customWidth="1"/>
    <col min="13764" max="13764" width="7.42578125" customWidth="1"/>
    <col min="13765" max="13765" width="11.42578125" customWidth="1"/>
    <col min="13766" max="13767" width="12.42578125" customWidth="1"/>
    <col min="13768" max="13768" width="11.42578125" customWidth="1"/>
    <col min="13769" max="13770" width="8.42578125" customWidth="1"/>
    <col min="13771" max="13771" width="17.42578125" customWidth="1"/>
    <col min="13772" max="13772" width="12.42578125" customWidth="1"/>
    <col min="13773" max="13774" width="8.42578125" customWidth="1"/>
    <col min="13775" max="13775" width="44" customWidth="1"/>
    <col min="13777" max="13777" width="7.42578125" customWidth="1"/>
    <col min="13778" max="13778" width="11.42578125" customWidth="1"/>
    <col min="13779" max="13780" width="12.42578125" customWidth="1"/>
    <col min="13781" max="13781" width="11.42578125" customWidth="1"/>
    <col min="13782" max="13783" width="8.42578125" customWidth="1"/>
    <col min="13784" max="13784" width="17.42578125" customWidth="1"/>
    <col min="13785" max="13785" width="12.42578125" customWidth="1"/>
    <col min="13786" max="13787" width="8.42578125" customWidth="1"/>
    <col min="13788" max="13788" width="44" customWidth="1"/>
    <col min="13791" max="13791" width="7.42578125" customWidth="1"/>
    <col min="13792" max="13792" width="11.42578125" customWidth="1"/>
    <col min="13793" max="13794" width="12.42578125" customWidth="1"/>
    <col min="13795" max="13795" width="11.42578125" customWidth="1"/>
    <col min="13796" max="13797" width="8.42578125" customWidth="1"/>
    <col min="13798" max="13798" width="17.42578125" customWidth="1"/>
    <col min="13799" max="13799" width="12.42578125" customWidth="1"/>
    <col min="13800" max="13801" width="8.42578125" customWidth="1"/>
    <col min="13802" max="13802" width="43.42578125" customWidth="1"/>
    <col min="13804" max="13804" width="7.42578125" customWidth="1"/>
    <col min="13805" max="13805" width="11.42578125" customWidth="1"/>
    <col min="13806" max="13807" width="12.42578125" customWidth="1"/>
    <col min="13808" max="13808" width="11.42578125" customWidth="1"/>
    <col min="13809" max="13809" width="8.42578125" customWidth="1"/>
    <col min="13810" max="13810" width="8.42578125" bestFit="1" customWidth="1"/>
    <col min="13811" max="13811" width="17.42578125" bestFit="1" customWidth="1"/>
    <col min="13812" max="13812" width="12.42578125" bestFit="1" customWidth="1"/>
    <col min="13813" max="13814" width="8.42578125" customWidth="1"/>
    <col min="13815" max="13815" width="44" customWidth="1"/>
    <col min="14001" max="14001" width="22.42578125" bestFit="1" customWidth="1"/>
    <col min="14002" max="14002" width="8.42578125" customWidth="1"/>
    <col min="14003" max="14003" width="29.42578125" customWidth="1"/>
    <col min="14004" max="14004" width="7" customWidth="1"/>
    <col min="14005" max="14005" width="22.42578125" bestFit="1" customWidth="1"/>
    <col min="14006" max="14006" width="62.42578125" customWidth="1"/>
    <col min="14007" max="14007" width="2.42578125" customWidth="1"/>
    <col min="14008" max="14008" width="7" customWidth="1"/>
    <col min="14009" max="14009" width="11.42578125" customWidth="1"/>
    <col min="14010" max="14011" width="12.42578125" customWidth="1"/>
    <col min="14012" max="14014" width="8.42578125" customWidth="1"/>
    <col min="14015" max="14015" width="12.42578125" customWidth="1"/>
    <col min="14016" max="14017" width="8.42578125" customWidth="1"/>
    <col min="14018" max="14018" width="44" customWidth="1"/>
    <col min="14019" max="14019" width="10.42578125" customWidth="1"/>
    <col min="14020" max="14020" width="7.42578125" customWidth="1"/>
    <col min="14021" max="14021" width="11.42578125" customWidth="1"/>
    <col min="14022" max="14023" width="12.42578125" customWidth="1"/>
    <col min="14024" max="14024" width="11.42578125" customWidth="1"/>
    <col min="14025" max="14026" width="8.42578125" customWidth="1"/>
    <col min="14027" max="14027" width="17.42578125" customWidth="1"/>
    <col min="14028" max="14028" width="12.42578125" customWidth="1"/>
    <col min="14029" max="14030" width="8.42578125" customWidth="1"/>
    <col min="14031" max="14031" width="44" customWidth="1"/>
    <col min="14033" max="14033" width="7.42578125" customWidth="1"/>
    <col min="14034" max="14034" width="11.42578125" customWidth="1"/>
    <col min="14035" max="14036" width="12.42578125" customWidth="1"/>
    <col min="14037" max="14037" width="11.42578125" customWidth="1"/>
    <col min="14038" max="14039" width="8.42578125" customWidth="1"/>
    <col min="14040" max="14040" width="17.42578125" customWidth="1"/>
    <col min="14041" max="14041" width="12.42578125" customWidth="1"/>
    <col min="14042" max="14043" width="8.42578125" customWidth="1"/>
    <col min="14044" max="14044" width="44" customWidth="1"/>
    <col min="14047" max="14047" width="7.42578125" customWidth="1"/>
    <col min="14048" max="14048" width="11.42578125" customWidth="1"/>
    <col min="14049" max="14050" width="12.42578125" customWidth="1"/>
    <col min="14051" max="14051" width="11.42578125" customWidth="1"/>
    <col min="14052" max="14053" width="8.42578125" customWidth="1"/>
    <col min="14054" max="14054" width="17.42578125" customWidth="1"/>
    <col min="14055" max="14055" width="12.42578125" customWidth="1"/>
    <col min="14056" max="14057" width="8.42578125" customWidth="1"/>
    <col min="14058" max="14058" width="43.42578125" customWidth="1"/>
    <col min="14060" max="14060" width="7.42578125" customWidth="1"/>
    <col min="14061" max="14061" width="11.42578125" customWidth="1"/>
    <col min="14062" max="14063" width="12.42578125" customWidth="1"/>
    <col min="14064" max="14064" width="11.42578125" customWidth="1"/>
    <col min="14065" max="14065" width="8.42578125" customWidth="1"/>
    <col min="14066" max="14066" width="8.42578125" bestFit="1" customWidth="1"/>
    <col min="14067" max="14067" width="17.42578125" bestFit="1" customWidth="1"/>
    <col min="14068" max="14068" width="12.42578125" bestFit="1" customWidth="1"/>
    <col min="14069" max="14070" width="8.42578125" customWidth="1"/>
    <col min="14071" max="14071" width="44" customWidth="1"/>
    <col min="14257" max="14257" width="22.42578125" bestFit="1" customWidth="1"/>
    <col min="14258" max="14258" width="8.42578125" customWidth="1"/>
    <col min="14259" max="14259" width="29.42578125" customWidth="1"/>
    <col min="14260" max="14260" width="7" customWidth="1"/>
    <col min="14261" max="14261" width="22.42578125" bestFit="1" customWidth="1"/>
    <col min="14262" max="14262" width="62.42578125" customWidth="1"/>
    <col min="14263" max="14263" width="2.42578125" customWidth="1"/>
    <col min="14264" max="14264" width="7" customWidth="1"/>
    <col min="14265" max="14265" width="11.42578125" customWidth="1"/>
    <col min="14266" max="14267" width="12.42578125" customWidth="1"/>
    <col min="14268" max="14270" width="8.42578125" customWidth="1"/>
    <col min="14271" max="14271" width="12.42578125" customWidth="1"/>
    <col min="14272" max="14273" width="8.42578125" customWidth="1"/>
    <col min="14274" max="14274" width="44" customWidth="1"/>
    <col min="14275" max="14275" width="10.42578125" customWidth="1"/>
    <col min="14276" max="14276" width="7.42578125" customWidth="1"/>
    <col min="14277" max="14277" width="11.42578125" customWidth="1"/>
    <col min="14278" max="14279" width="12.42578125" customWidth="1"/>
    <col min="14280" max="14280" width="11.42578125" customWidth="1"/>
    <col min="14281" max="14282" width="8.42578125" customWidth="1"/>
    <col min="14283" max="14283" width="17.42578125" customWidth="1"/>
    <col min="14284" max="14284" width="12.42578125" customWidth="1"/>
    <col min="14285" max="14286" width="8.42578125" customWidth="1"/>
    <col min="14287" max="14287" width="44" customWidth="1"/>
    <col min="14289" max="14289" width="7.42578125" customWidth="1"/>
    <col min="14290" max="14290" width="11.42578125" customWidth="1"/>
    <col min="14291" max="14292" width="12.42578125" customWidth="1"/>
    <col min="14293" max="14293" width="11.42578125" customWidth="1"/>
    <col min="14294" max="14295" width="8.42578125" customWidth="1"/>
    <col min="14296" max="14296" width="17.42578125" customWidth="1"/>
    <col min="14297" max="14297" width="12.42578125" customWidth="1"/>
    <col min="14298" max="14299" width="8.42578125" customWidth="1"/>
    <col min="14300" max="14300" width="44" customWidth="1"/>
    <col min="14303" max="14303" width="7.42578125" customWidth="1"/>
    <col min="14304" max="14304" width="11.42578125" customWidth="1"/>
    <col min="14305" max="14306" width="12.42578125" customWidth="1"/>
    <col min="14307" max="14307" width="11.42578125" customWidth="1"/>
    <col min="14308" max="14309" width="8.42578125" customWidth="1"/>
    <col min="14310" max="14310" width="17.42578125" customWidth="1"/>
    <col min="14311" max="14311" width="12.42578125" customWidth="1"/>
    <col min="14312" max="14313" width="8.42578125" customWidth="1"/>
    <col min="14314" max="14314" width="43.42578125" customWidth="1"/>
    <col min="14316" max="14316" width="7.42578125" customWidth="1"/>
    <col min="14317" max="14317" width="11.42578125" customWidth="1"/>
    <col min="14318" max="14319" width="12.42578125" customWidth="1"/>
    <col min="14320" max="14320" width="11.42578125" customWidth="1"/>
    <col min="14321" max="14321" width="8.42578125" customWidth="1"/>
    <col min="14322" max="14322" width="8.42578125" bestFit="1" customWidth="1"/>
    <col min="14323" max="14323" width="17.42578125" bestFit="1" customWidth="1"/>
    <col min="14324" max="14324" width="12.42578125" bestFit="1" customWidth="1"/>
    <col min="14325" max="14326" width="8.42578125" customWidth="1"/>
    <col min="14327" max="14327" width="44" customWidth="1"/>
    <col min="14513" max="14513" width="22.42578125" bestFit="1" customWidth="1"/>
    <col min="14514" max="14514" width="8.42578125" customWidth="1"/>
    <col min="14515" max="14515" width="29.42578125" customWidth="1"/>
    <col min="14516" max="14516" width="7" customWidth="1"/>
    <col min="14517" max="14517" width="22.42578125" bestFit="1" customWidth="1"/>
    <col min="14518" max="14518" width="62.42578125" customWidth="1"/>
    <col min="14519" max="14519" width="2.42578125" customWidth="1"/>
    <col min="14520" max="14520" width="7" customWidth="1"/>
    <col min="14521" max="14521" width="11.42578125" customWidth="1"/>
    <col min="14522" max="14523" width="12.42578125" customWidth="1"/>
    <col min="14524" max="14526" width="8.42578125" customWidth="1"/>
    <col min="14527" max="14527" width="12.42578125" customWidth="1"/>
    <col min="14528" max="14529" width="8.42578125" customWidth="1"/>
    <col min="14530" max="14530" width="44" customWidth="1"/>
    <col min="14531" max="14531" width="10.42578125" customWidth="1"/>
    <col min="14532" max="14532" width="7.42578125" customWidth="1"/>
    <col min="14533" max="14533" width="11.42578125" customWidth="1"/>
    <col min="14534" max="14535" width="12.42578125" customWidth="1"/>
    <col min="14536" max="14536" width="11.42578125" customWidth="1"/>
    <col min="14537" max="14538" width="8.42578125" customWidth="1"/>
    <col min="14539" max="14539" width="17.42578125" customWidth="1"/>
    <col min="14540" max="14540" width="12.42578125" customWidth="1"/>
    <col min="14541" max="14542" width="8.42578125" customWidth="1"/>
    <col min="14543" max="14543" width="44" customWidth="1"/>
    <col min="14545" max="14545" width="7.42578125" customWidth="1"/>
    <col min="14546" max="14546" width="11.42578125" customWidth="1"/>
    <col min="14547" max="14548" width="12.42578125" customWidth="1"/>
    <col min="14549" max="14549" width="11.42578125" customWidth="1"/>
    <col min="14550" max="14551" width="8.42578125" customWidth="1"/>
    <col min="14552" max="14552" width="17.42578125" customWidth="1"/>
    <col min="14553" max="14553" width="12.42578125" customWidth="1"/>
    <col min="14554" max="14555" width="8.42578125" customWidth="1"/>
    <col min="14556" max="14556" width="44" customWidth="1"/>
    <col min="14559" max="14559" width="7.42578125" customWidth="1"/>
    <col min="14560" max="14560" width="11.42578125" customWidth="1"/>
    <col min="14561" max="14562" width="12.42578125" customWidth="1"/>
    <col min="14563" max="14563" width="11.42578125" customWidth="1"/>
    <col min="14564" max="14565" width="8.42578125" customWidth="1"/>
    <col min="14566" max="14566" width="17.42578125" customWidth="1"/>
    <col min="14567" max="14567" width="12.42578125" customWidth="1"/>
    <col min="14568" max="14569" width="8.42578125" customWidth="1"/>
    <col min="14570" max="14570" width="43.42578125" customWidth="1"/>
    <col min="14572" max="14572" width="7.42578125" customWidth="1"/>
    <col min="14573" max="14573" width="11.42578125" customWidth="1"/>
    <col min="14574" max="14575" width="12.42578125" customWidth="1"/>
    <col min="14576" max="14576" width="11.42578125" customWidth="1"/>
    <col min="14577" max="14577" width="8.42578125" customWidth="1"/>
    <col min="14578" max="14578" width="8.42578125" bestFit="1" customWidth="1"/>
    <col min="14579" max="14579" width="17.42578125" bestFit="1" customWidth="1"/>
    <col min="14580" max="14580" width="12.42578125" bestFit="1" customWidth="1"/>
    <col min="14581" max="14582" width="8.42578125" customWidth="1"/>
    <col min="14583" max="14583" width="44" customWidth="1"/>
    <col min="14769" max="14769" width="22.42578125" bestFit="1" customWidth="1"/>
    <col min="14770" max="14770" width="8.42578125" customWidth="1"/>
    <col min="14771" max="14771" width="29.42578125" customWidth="1"/>
    <col min="14772" max="14772" width="7" customWidth="1"/>
    <col min="14773" max="14773" width="22.42578125" bestFit="1" customWidth="1"/>
    <col min="14774" max="14774" width="62.42578125" customWidth="1"/>
    <col min="14775" max="14775" width="2.42578125" customWidth="1"/>
    <col min="14776" max="14776" width="7" customWidth="1"/>
    <col min="14777" max="14777" width="11.42578125" customWidth="1"/>
    <col min="14778" max="14779" width="12.42578125" customWidth="1"/>
    <col min="14780" max="14782" width="8.42578125" customWidth="1"/>
    <col min="14783" max="14783" width="12.42578125" customWidth="1"/>
    <col min="14784" max="14785" width="8.42578125" customWidth="1"/>
    <col min="14786" max="14786" width="44" customWidth="1"/>
    <col min="14787" max="14787" width="10.42578125" customWidth="1"/>
    <col min="14788" max="14788" width="7.42578125" customWidth="1"/>
    <col min="14789" max="14789" width="11.42578125" customWidth="1"/>
    <col min="14790" max="14791" width="12.42578125" customWidth="1"/>
    <col min="14792" max="14792" width="11.42578125" customWidth="1"/>
    <col min="14793" max="14794" width="8.42578125" customWidth="1"/>
    <col min="14795" max="14795" width="17.42578125" customWidth="1"/>
    <col min="14796" max="14796" width="12.42578125" customWidth="1"/>
    <col min="14797" max="14798" width="8.42578125" customWidth="1"/>
    <col min="14799" max="14799" width="44" customWidth="1"/>
    <col min="14801" max="14801" width="7.42578125" customWidth="1"/>
    <col min="14802" max="14802" width="11.42578125" customWidth="1"/>
    <col min="14803" max="14804" width="12.42578125" customWidth="1"/>
    <col min="14805" max="14805" width="11.42578125" customWidth="1"/>
    <col min="14806" max="14807" width="8.42578125" customWidth="1"/>
    <col min="14808" max="14808" width="17.42578125" customWidth="1"/>
    <col min="14809" max="14809" width="12.42578125" customWidth="1"/>
    <col min="14810" max="14811" width="8.42578125" customWidth="1"/>
    <col min="14812" max="14812" width="44" customWidth="1"/>
    <col min="14815" max="14815" width="7.42578125" customWidth="1"/>
    <col min="14816" max="14816" width="11.42578125" customWidth="1"/>
    <col min="14817" max="14818" width="12.42578125" customWidth="1"/>
    <col min="14819" max="14819" width="11.42578125" customWidth="1"/>
    <col min="14820" max="14821" width="8.42578125" customWidth="1"/>
    <col min="14822" max="14822" width="17.42578125" customWidth="1"/>
    <col min="14823" max="14823" width="12.42578125" customWidth="1"/>
    <col min="14824" max="14825" width="8.42578125" customWidth="1"/>
    <col min="14826" max="14826" width="43.42578125" customWidth="1"/>
    <col min="14828" max="14828" width="7.42578125" customWidth="1"/>
    <col min="14829" max="14829" width="11.42578125" customWidth="1"/>
    <col min="14830" max="14831" width="12.42578125" customWidth="1"/>
    <col min="14832" max="14832" width="11.42578125" customWidth="1"/>
    <col min="14833" max="14833" width="8.42578125" customWidth="1"/>
    <col min="14834" max="14834" width="8.42578125" bestFit="1" customWidth="1"/>
    <col min="14835" max="14835" width="17.42578125" bestFit="1" customWidth="1"/>
    <col min="14836" max="14836" width="12.42578125" bestFit="1" customWidth="1"/>
    <col min="14837" max="14838" width="8.42578125" customWidth="1"/>
    <col min="14839" max="14839" width="44" customWidth="1"/>
    <col min="15025" max="15025" width="22.42578125" bestFit="1" customWidth="1"/>
    <col min="15026" max="15026" width="8.42578125" customWidth="1"/>
    <col min="15027" max="15027" width="29.42578125" customWidth="1"/>
    <col min="15028" max="15028" width="7" customWidth="1"/>
    <col min="15029" max="15029" width="22.42578125" bestFit="1" customWidth="1"/>
    <col min="15030" max="15030" width="62.42578125" customWidth="1"/>
    <col min="15031" max="15031" width="2.42578125" customWidth="1"/>
    <col min="15032" max="15032" width="7" customWidth="1"/>
    <col min="15033" max="15033" width="11.42578125" customWidth="1"/>
    <col min="15034" max="15035" width="12.42578125" customWidth="1"/>
    <col min="15036" max="15038" width="8.42578125" customWidth="1"/>
    <col min="15039" max="15039" width="12.42578125" customWidth="1"/>
    <col min="15040" max="15041" width="8.42578125" customWidth="1"/>
    <col min="15042" max="15042" width="44" customWidth="1"/>
    <col min="15043" max="15043" width="10.42578125" customWidth="1"/>
    <col min="15044" max="15044" width="7.42578125" customWidth="1"/>
    <col min="15045" max="15045" width="11.42578125" customWidth="1"/>
    <col min="15046" max="15047" width="12.42578125" customWidth="1"/>
    <col min="15048" max="15048" width="11.42578125" customWidth="1"/>
    <col min="15049" max="15050" width="8.42578125" customWidth="1"/>
    <col min="15051" max="15051" width="17.42578125" customWidth="1"/>
    <col min="15052" max="15052" width="12.42578125" customWidth="1"/>
    <col min="15053" max="15054" width="8.42578125" customWidth="1"/>
    <col min="15055" max="15055" width="44" customWidth="1"/>
    <col min="15057" max="15057" width="7.42578125" customWidth="1"/>
    <col min="15058" max="15058" width="11.42578125" customWidth="1"/>
    <col min="15059" max="15060" width="12.42578125" customWidth="1"/>
    <col min="15061" max="15061" width="11.42578125" customWidth="1"/>
    <col min="15062" max="15063" width="8.42578125" customWidth="1"/>
    <col min="15064" max="15064" width="17.42578125" customWidth="1"/>
    <col min="15065" max="15065" width="12.42578125" customWidth="1"/>
    <col min="15066" max="15067" width="8.42578125" customWidth="1"/>
    <col min="15068" max="15068" width="44" customWidth="1"/>
    <col min="15071" max="15071" width="7.42578125" customWidth="1"/>
    <col min="15072" max="15072" width="11.42578125" customWidth="1"/>
    <col min="15073" max="15074" width="12.42578125" customWidth="1"/>
    <col min="15075" max="15075" width="11.42578125" customWidth="1"/>
    <col min="15076" max="15077" width="8.42578125" customWidth="1"/>
    <col min="15078" max="15078" width="17.42578125" customWidth="1"/>
    <col min="15079" max="15079" width="12.42578125" customWidth="1"/>
    <col min="15080" max="15081" width="8.42578125" customWidth="1"/>
    <col min="15082" max="15082" width="43.42578125" customWidth="1"/>
    <col min="15084" max="15084" width="7.42578125" customWidth="1"/>
    <col min="15085" max="15085" width="11.42578125" customWidth="1"/>
    <col min="15086" max="15087" width="12.42578125" customWidth="1"/>
    <col min="15088" max="15088" width="11.42578125" customWidth="1"/>
    <col min="15089" max="15089" width="8.42578125" customWidth="1"/>
    <col min="15090" max="15090" width="8.42578125" bestFit="1" customWidth="1"/>
    <col min="15091" max="15091" width="17.42578125" bestFit="1" customWidth="1"/>
    <col min="15092" max="15092" width="12.42578125" bestFit="1" customWidth="1"/>
    <col min="15093" max="15094" width="8.42578125" customWidth="1"/>
    <col min="15095" max="15095" width="44" customWidth="1"/>
    <col min="15281" max="15281" width="22.42578125" bestFit="1" customWidth="1"/>
    <col min="15282" max="15282" width="8.42578125" customWidth="1"/>
    <col min="15283" max="15283" width="29.42578125" customWidth="1"/>
    <col min="15284" max="15284" width="7" customWidth="1"/>
    <col min="15285" max="15285" width="22.42578125" bestFit="1" customWidth="1"/>
    <col min="15286" max="15286" width="62.42578125" customWidth="1"/>
    <col min="15287" max="15287" width="2.42578125" customWidth="1"/>
    <col min="15288" max="15288" width="7" customWidth="1"/>
    <col min="15289" max="15289" width="11.42578125" customWidth="1"/>
    <col min="15290" max="15291" width="12.42578125" customWidth="1"/>
    <col min="15292" max="15294" width="8.42578125" customWidth="1"/>
    <col min="15295" max="15295" width="12.42578125" customWidth="1"/>
    <col min="15296" max="15297" width="8.42578125" customWidth="1"/>
    <col min="15298" max="15298" width="44" customWidth="1"/>
    <col min="15299" max="15299" width="10.42578125" customWidth="1"/>
    <col min="15300" max="15300" width="7.42578125" customWidth="1"/>
    <col min="15301" max="15301" width="11.42578125" customWidth="1"/>
    <col min="15302" max="15303" width="12.42578125" customWidth="1"/>
    <col min="15304" max="15304" width="11.42578125" customWidth="1"/>
    <col min="15305" max="15306" width="8.42578125" customWidth="1"/>
    <col min="15307" max="15307" width="17.42578125" customWidth="1"/>
    <col min="15308" max="15308" width="12.42578125" customWidth="1"/>
    <col min="15309" max="15310" width="8.42578125" customWidth="1"/>
    <col min="15311" max="15311" width="44" customWidth="1"/>
    <col min="15313" max="15313" width="7.42578125" customWidth="1"/>
    <col min="15314" max="15314" width="11.42578125" customWidth="1"/>
    <col min="15315" max="15316" width="12.42578125" customWidth="1"/>
    <col min="15317" max="15317" width="11.42578125" customWidth="1"/>
    <col min="15318" max="15319" width="8.42578125" customWidth="1"/>
    <col min="15320" max="15320" width="17.42578125" customWidth="1"/>
    <col min="15321" max="15321" width="12.42578125" customWidth="1"/>
    <col min="15322" max="15323" width="8.42578125" customWidth="1"/>
    <col min="15324" max="15324" width="44" customWidth="1"/>
    <col min="15327" max="15327" width="7.42578125" customWidth="1"/>
    <col min="15328" max="15328" width="11.42578125" customWidth="1"/>
    <col min="15329" max="15330" width="12.42578125" customWidth="1"/>
    <col min="15331" max="15331" width="11.42578125" customWidth="1"/>
    <col min="15332" max="15333" width="8.42578125" customWidth="1"/>
    <col min="15334" max="15334" width="17.42578125" customWidth="1"/>
    <col min="15335" max="15335" width="12.42578125" customWidth="1"/>
    <col min="15336" max="15337" width="8.42578125" customWidth="1"/>
    <col min="15338" max="15338" width="43.42578125" customWidth="1"/>
    <col min="15340" max="15340" width="7.42578125" customWidth="1"/>
    <col min="15341" max="15341" width="11.42578125" customWidth="1"/>
    <col min="15342" max="15343" width="12.42578125" customWidth="1"/>
    <col min="15344" max="15344" width="11.42578125" customWidth="1"/>
    <col min="15345" max="15345" width="8.42578125" customWidth="1"/>
    <col min="15346" max="15346" width="8.42578125" bestFit="1" customWidth="1"/>
    <col min="15347" max="15347" width="17.42578125" bestFit="1" customWidth="1"/>
    <col min="15348" max="15348" width="12.42578125" bestFit="1" customWidth="1"/>
    <col min="15349" max="15350" width="8.42578125" customWidth="1"/>
    <col min="15351" max="15351" width="44" customWidth="1"/>
    <col min="15537" max="15537" width="22.42578125" bestFit="1" customWidth="1"/>
    <col min="15538" max="15538" width="8.42578125" customWidth="1"/>
    <col min="15539" max="15539" width="29.42578125" customWidth="1"/>
    <col min="15540" max="15540" width="7" customWidth="1"/>
    <col min="15541" max="15541" width="22.42578125" bestFit="1" customWidth="1"/>
    <col min="15542" max="15542" width="62.42578125" customWidth="1"/>
    <col min="15543" max="15543" width="2.42578125" customWidth="1"/>
    <col min="15544" max="15544" width="7" customWidth="1"/>
    <col min="15545" max="15545" width="11.42578125" customWidth="1"/>
    <col min="15546" max="15547" width="12.42578125" customWidth="1"/>
    <col min="15548" max="15550" width="8.42578125" customWidth="1"/>
    <col min="15551" max="15551" width="12.42578125" customWidth="1"/>
    <col min="15552" max="15553" width="8.42578125" customWidth="1"/>
    <col min="15554" max="15554" width="44" customWidth="1"/>
    <col min="15555" max="15555" width="10.42578125" customWidth="1"/>
    <col min="15556" max="15556" width="7.42578125" customWidth="1"/>
    <col min="15557" max="15557" width="11.42578125" customWidth="1"/>
    <col min="15558" max="15559" width="12.42578125" customWidth="1"/>
    <col min="15560" max="15560" width="11.42578125" customWidth="1"/>
    <col min="15561" max="15562" width="8.42578125" customWidth="1"/>
    <col min="15563" max="15563" width="17.42578125" customWidth="1"/>
    <col min="15564" max="15564" width="12.42578125" customWidth="1"/>
    <col min="15565" max="15566" width="8.42578125" customWidth="1"/>
    <col min="15567" max="15567" width="44" customWidth="1"/>
    <col min="15569" max="15569" width="7.42578125" customWidth="1"/>
    <col min="15570" max="15570" width="11.42578125" customWidth="1"/>
    <col min="15571" max="15572" width="12.42578125" customWidth="1"/>
    <col min="15573" max="15573" width="11.42578125" customWidth="1"/>
    <col min="15574" max="15575" width="8.42578125" customWidth="1"/>
    <col min="15576" max="15576" width="17.42578125" customWidth="1"/>
    <col min="15577" max="15577" width="12.42578125" customWidth="1"/>
    <col min="15578" max="15579" width="8.42578125" customWidth="1"/>
    <col min="15580" max="15580" width="44" customWidth="1"/>
    <col min="15583" max="15583" width="7.42578125" customWidth="1"/>
    <col min="15584" max="15584" width="11.42578125" customWidth="1"/>
    <col min="15585" max="15586" width="12.42578125" customWidth="1"/>
    <col min="15587" max="15587" width="11.42578125" customWidth="1"/>
    <col min="15588" max="15589" width="8.42578125" customWidth="1"/>
    <col min="15590" max="15590" width="17.42578125" customWidth="1"/>
    <col min="15591" max="15591" width="12.42578125" customWidth="1"/>
    <col min="15592" max="15593" width="8.42578125" customWidth="1"/>
    <col min="15594" max="15594" width="43.42578125" customWidth="1"/>
    <col min="15596" max="15596" width="7.42578125" customWidth="1"/>
    <col min="15597" max="15597" width="11.42578125" customWidth="1"/>
    <col min="15598" max="15599" width="12.42578125" customWidth="1"/>
    <col min="15600" max="15600" width="11.42578125" customWidth="1"/>
    <col min="15601" max="15601" width="8.42578125" customWidth="1"/>
    <col min="15602" max="15602" width="8.42578125" bestFit="1" customWidth="1"/>
    <col min="15603" max="15603" width="17.42578125" bestFit="1" customWidth="1"/>
    <col min="15604" max="15604" width="12.42578125" bestFit="1" customWidth="1"/>
    <col min="15605" max="15606" width="8.42578125" customWidth="1"/>
    <col min="15607" max="15607" width="44" customWidth="1"/>
  </cols>
  <sheetData>
    <row r="1" spans="1:22" ht="14.65" customHeight="1">
      <c r="I1" s="2">
        <v>45931</v>
      </c>
      <c r="M1" s="1"/>
    </row>
    <row r="2" spans="1:22" ht="39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229" t="s">
        <v>5</v>
      </c>
      <c r="G2" s="229" t="s">
        <v>6</v>
      </c>
      <c r="I2" s="5" t="s">
        <v>17</v>
      </c>
      <c r="J2" s="6" t="s">
        <v>9</v>
      </c>
      <c r="K2" s="6" t="s">
        <v>10</v>
      </c>
      <c r="L2" s="137" t="s">
        <v>18</v>
      </c>
      <c r="M2" s="6" t="s">
        <v>11</v>
      </c>
      <c r="N2" s="7" t="s">
        <v>12</v>
      </c>
      <c r="O2" s="7" t="s">
        <v>13</v>
      </c>
      <c r="P2" s="7"/>
      <c r="Q2" s="7"/>
      <c r="R2" s="7"/>
      <c r="S2" s="7" t="s">
        <v>14</v>
      </c>
      <c r="T2" s="7" t="s">
        <v>15</v>
      </c>
      <c r="U2" s="7" t="s">
        <v>16</v>
      </c>
      <c r="V2" s="8" t="s">
        <v>17</v>
      </c>
    </row>
    <row r="3" spans="1:22">
      <c r="A3" s="162" t="s">
        <v>694</v>
      </c>
      <c r="B3" s="163">
        <v>100</v>
      </c>
      <c r="C3" s="162" t="s">
        <v>113</v>
      </c>
      <c r="D3" s="164">
        <v>1033</v>
      </c>
      <c r="E3" s="165" t="s">
        <v>695</v>
      </c>
      <c r="F3" s="252" t="s">
        <v>696</v>
      </c>
      <c r="G3" s="162" t="s">
        <v>697</v>
      </c>
      <c r="I3" s="12"/>
      <c r="J3" s="166">
        <v>6</v>
      </c>
      <c r="K3" s="166">
        <v>6.54</v>
      </c>
      <c r="L3" s="284"/>
      <c r="M3" s="163" t="s">
        <v>699</v>
      </c>
      <c r="N3" s="166">
        <f t="shared" ref="N3:N24" si="0">K3-J3</f>
        <v>0.54</v>
      </c>
      <c r="O3" s="168">
        <f t="shared" ref="O3:O33" si="1">N3/J3</f>
        <v>9.0000000000000011E-2</v>
      </c>
      <c r="P3" s="168"/>
      <c r="Q3" s="168"/>
      <c r="R3" s="168"/>
      <c r="S3" s="167" t="s">
        <v>27</v>
      </c>
      <c r="T3" s="191"/>
      <c r="U3" s="162"/>
      <c r="V3" s="12" t="s">
        <v>698</v>
      </c>
    </row>
    <row r="4" spans="1:22">
      <c r="A4" s="162" t="s">
        <v>700</v>
      </c>
      <c r="B4" s="163">
        <v>100</v>
      </c>
      <c r="C4" s="162" t="s">
        <v>113</v>
      </c>
      <c r="D4" s="164">
        <v>1033</v>
      </c>
      <c r="E4" s="165" t="s">
        <v>695</v>
      </c>
      <c r="F4" s="252" t="s">
        <v>696</v>
      </c>
      <c r="G4" s="162" t="s">
        <v>701</v>
      </c>
      <c r="I4" s="12"/>
      <c r="J4" s="166">
        <v>6</v>
      </c>
      <c r="K4" s="166">
        <v>6.54</v>
      </c>
      <c r="L4" s="284"/>
      <c r="M4" s="163" t="s">
        <v>699</v>
      </c>
      <c r="N4" s="166">
        <f t="shared" si="0"/>
        <v>0.54</v>
      </c>
      <c r="O4" s="168">
        <f t="shared" si="1"/>
        <v>9.0000000000000011E-2</v>
      </c>
      <c r="P4" s="168"/>
      <c r="Q4" s="168"/>
      <c r="R4" s="168"/>
      <c r="S4" s="167" t="s">
        <v>27</v>
      </c>
      <c r="T4" s="191"/>
      <c r="U4" s="162"/>
      <c r="V4" s="12"/>
    </row>
    <row r="5" spans="1:22">
      <c r="A5" s="162" t="s">
        <v>702</v>
      </c>
      <c r="B5" s="163">
        <v>100</v>
      </c>
      <c r="C5" s="162" t="s">
        <v>113</v>
      </c>
      <c r="D5" s="164">
        <v>1033</v>
      </c>
      <c r="E5" s="165" t="s">
        <v>695</v>
      </c>
      <c r="F5" s="252" t="s">
        <v>696</v>
      </c>
      <c r="G5" s="162" t="s">
        <v>703</v>
      </c>
      <c r="I5" s="12"/>
      <c r="J5" s="166">
        <v>7.6</v>
      </c>
      <c r="K5" s="166">
        <v>8.2848000000000006</v>
      </c>
      <c r="L5" s="284"/>
      <c r="M5" s="163" t="s">
        <v>699</v>
      </c>
      <c r="N5" s="166">
        <f t="shared" si="0"/>
        <v>0.68480000000000096</v>
      </c>
      <c r="O5" s="168">
        <f t="shared" si="1"/>
        <v>9.0105263157894869E-2</v>
      </c>
      <c r="P5" s="168"/>
      <c r="Q5" s="168"/>
      <c r="R5" s="168"/>
      <c r="S5" s="167" t="s">
        <v>27</v>
      </c>
      <c r="T5" s="191"/>
      <c r="U5" s="162"/>
      <c r="V5" s="12"/>
    </row>
    <row r="6" spans="1:22">
      <c r="A6" s="162" t="s">
        <v>704</v>
      </c>
      <c r="B6" s="163">
        <v>100</v>
      </c>
      <c r="C6" s="162" t="s">
        <v>113</v>
      </c>
      <c r="D6" s="164">
        <v>1033</v>
      </c>
      <c r="E6" s="165" t="s">
        <v>695</v>
      </c>
      <c r="F6" s="252" t="s">
        <v>696</v>
      </c>
      <c r="G6" s="162" t="s">
        <v>705</v>
      </c>
      <c r="I6" s="12"/>
      <c r="J6" s="166">
        <v>7.8</v>
      </c>
      <c r="K6" s="166">
        <v>8.4847999999999999</v>
      </c>
      <c r="L6" s="284"/>
      <c r="M6" s="163" t="s">
        <v>699</v>
      </c>
      <c r="N6" s="166">
        <f t="shared" si="0"/>
        <v>0.68480000000000008</v>
      </c>
      <c r="O6" s="168">
        <f t="shared" si="1"/>
        <v>8.7794871794871804E-2</v>
      </c>
      <c r="P6" s="168"/>
      <c r="Q6" s="168"/>
      <c r="R6" s="168"/>
      <c r="S6" s="167" t="s">
        <v>27</v>
      </c>
      <c r="T6" s="191"/>
      <c r="U6" s="162"/>
      <c r="V6" s="12"/>
    </row>
    <row r="7" spans="1:22">
      <c r="A7" s="162" t="s">
        <v>706</v>
      </c>
      <c r="B7" s="163">
        <v>100</v>
      </c>
      <c r="C7" s="162" t="s">
        <v>113</v>
      </c>
      <c r="D7" s="164">
        <v>1033</v>
      </c>
      <c r="E7" s="165" t="s">
        <v>695</v>
      </c>
      <c r="F7" s="252" t="s">
        <v>696</v>
      </c>
      <c r="G7" s="162" t="s">
        <v>114</v>
      </c>
      <c r="I7" s="12"/>
      <c r="J7" s="166">
        <v>10.199999999999999</v>
      </c>
      <c r="K7" s="166">
        <v>10.9056</v>
      </c>
      <c r="L7" s="284"/>
      <c r="M7" s="163" t="s">
        <v>699</v>
      </c>
      <c r="N7" s="166">
        <f t="shared" si="0"/>
        <v>0.70560000000000045</v>
      </c>
      <c r="O7" s="168">
        <f t="shared" si="1"/>
        <v>6.9176470588235339E-2</v>
      </c>
      <c r="P7" s="168"/>
      <c r="Q7" s="168"/>
      <c r="R7" s="168"/>
      <c r="S7" s="167" t="s">
        <v>27</v>
      </c>
      <c r="T7" s="191"/>
      <c r="U7" s="162"/>
      <c r="V7" s="12"/>
    </row>
    <row r="8" spans="1:22">
      <c r="A8" s="162" t="s">
        <v>707</v>
      </c>
      <c r="B8" s="163">
        <v>100</v>
      </c>
      <c r="C8" s="162" t="s">
        <v>113</v>
      </c>
      <c r="D8" s="164">
        <v>1033</v>
      </c>
      <c r="E8" s="165" t="s">
        <v>695</v>
      </c>
      <c r="F8" s="252" t="s">
        <v>696</v>
      </c>
      <c r="G8" s="162" t="s">
        <v>708</v>
      </c>
      <c r="I8" s="12"/>
      <c r="J8" s="166">
        <v>8.85</v>
      </c>
      <c r="K8" s="166">
        <v>9.57</v>
      </c>
      <c r="L8" s="284"/>
      <c r="M8" s="163" t="s">
        <v>699</v>
      </c>
      <c r="N8" s="166">
        <f t="shared" si="0"/>
        <v>0.72000000000000064</v>
      </c>
      <c r="O8" s="168">
        <f t="shared" si="1"/>
        <v>8.1355932203389908E-2</v>
      </c>
      <c r="P8" s="168"/>
      <c r="Q8" s="168"/>
      <c r="R8" s="168"/>
      <c r="S8" s="167" t="s">
        <v>27</v>
      </c>
      <c r="T8" s="198"/>
      <c r="U8" s="162"/>
      <c r="V8" s="12"/>
    </row>
    <row r="9" spans="1:22">
      <c r="A9" s="314" t="s">
        <v>709</v>
      </c>
      <c r="B9" s="163">
        <v>100</v>
      </c>
      <c r="C9" s="162" t="s">
        <v>113</v>
      </c>
      <c r="D9" s="164">
        <v>1033</v>
      </c>
      <c r="E9" s="165" t="s">
        <v>695</v>
      </c>
      <c r="F9" s="252" t="s">
        <v>696</v>
      </c>
      <c r="G9" s="162" t="s">
        <v>710</v>
      </c>
      <c r="I9" s="12"/>
      <c r="J9" s="166">
        <v>9.65</v>
      </c>
      <c r="K9" s="166">
        <f>10.5216+0.08</f>
        <v>10.601599999999999</v>
      </c>
      <c r="L9" s="284"/>
      <c r="M9" s="163" t="s">
        <v>699</v>
      </c>
      <c r="N9" s="166">
        <f t="shared" si="0"/>
        <v>0.95159999999999911</v>
      </c>
      <c r="O9" s="168">
        <f t="shared" si="1"/>
        <v>9.8611398963730473E-2</v>
      </c>
      <c r="P9" s="168"/>
      <c r="Q9" s="168"/>
      <c r="R9" s="168"/>
      <c r="S9" s="167" t="s">
        <v>27</v>
      </c>
      <c r="T9" s="191"/>
      <c r="U9" s="162"/>
      <c r="V9" s="12"/>
    </row>
    <row r="10" spans="1:22">
      <c r="A10" s="162" t="s">
        <v>711</v>
      </c>
      <c r="B10" s="328">
        <v>100</v>
      </c>
      <c r="C10" s="162" t="s">
        <v>113</v>
      </c>
      <c r="D10" s="164">
        <v>1033</v>
      </c>
      <c r="E10" s="165" t="s">
        <v>695</v>
      </c>
      <c r="F10" s="252" t="s">
        <v>696</v>
      </c>
      <c r="G10" s="162" t="s">
        <v>712</v>
      </c>
      <c r="I10" s="12"/>
      <c r="J10" s="166">
        <v>8.4</v>
      </c>
      <c r="K10" s="166">
        <v>9.25</v>
      </c>
      <c r="L10" s="284"/>
      <c r="M10" s="163" t="s">
        <v>699</v>
      </c>
      <c r="N10" s="166">
        <f t="shared" si="0"/>
        <v>0.84999999999999964</v>
      </c>
      <c r="O10" s="168">
        <f t="shared" si="1"/>
        <v>0.10119047619047615</v>
      </c>
      <c r="P10" s="168"/>
      <c r="Q10" s="168"/>
      <c r="R10" s="168"/>
      <c r="S10" s="167" t="s">
        <v>27</v>
      </c>
      <c r="T10" s="191"/>
      <c r="U10" s="162"/>
      <c r="V10" s="12"/>
    </row>
    <row r="11" spans="1:22" s="305" customFormat="1" ht="15.75" thickBot="1">
      <c r="A11" s="322" t="s">
        <v>709</v>
      </c>
      <c r="B11" s="301">
        <v>100</v>
      </c>
      <c r="C11" s="300" t="s">
        <v>113</v>
      </c>
      <c r="D11" s="302">
        <v>1033</v>
      </c>
      <c r="E11" s="303" t="s">
        <v>695</v>
      </c>
      <c r="F11" s="304" t="s">
        <v>696</v>
      </c>
      <c r="G11" s="300" t="s">
        <v>713</v>
      </c>
      <c r="I11" s="306"/>
      <c r="J11" s="307">
        <v>9.65</v>
      </c>
      <c r="K11" s="307">
        <f>10.5216</f>
        <v>10.521599999999999</v>
      </c>
      <c r="L11" s="311"/>
      <c r="M11" s="301" t="s">
        <v>699</v>
      </c>
      <c r="N11" s="307">
        <f t="shared" si="0"/>
        <v>0.87159999999999904</v>
      </c>
      <c r="O11" s="308">
        <f t="shared" si="1"/>
        <v>9.0321243523315956E-2</v>
      </c>
      <c r="P11" s="308"/>
      <c r="Q11" s="308"/>
      <c r="R11" s="308"/>
      <c r="S11" s="309" t="s">
        <v>27</v>
      </c>
      <c r="T11" s="310"/>
      <c r="U11" s="300"/>
      <c r="V11" s="306"/>
    </row>
    <row r="12" spans="1:22">
      <c r="A12" s="288" t="s">
        <v>714</v>
      </c>
      <c r="B12" s="289">
        <v>190</v>
      </c>
      <c r="C12" s="288" t="s">
        <v>65</v>
      </c>
      <c r="D12" s="290">
        <v>1033</v>
      </c>
      <c r="E12" s="291" t="s">
        <v>695</v>
      </c>
      <c r="F12" s="292" t="s">
        <v>696</v>
      </c>
      <c r="G12" s="288" t="s">
        <v>715</v>
      </c>
      <c r="I12" s="298"/>
      <c r="J12" s="294">
        <v>9.61</v>
      </c>
      <c r="K12" s="294">
        <v>10.67</v>
      </c>
      <c r="L12" s="299"/>
      <c r="M12" s="289" t="s">
        <v>699</v>
      </c>
      <c r="N12" s="294">
        <f t="shared" si="0"/>
        <v>1.0600000000000005</v>
      </c>
      <c r="O12" s="295">
        <f t="shared" si="1"/>
        <v>0.11030176899063482</v>
      </c>
      <c r="P12" s="295"/>
      <c r="Q12" s="295"/>
      <c r="R12" s="295"/>
      <c r="S12" s="296" t="s">
        <v>27</v>
      </c>
      <c r="T12" s="297"/>
      <c r="U12" s="288"/>
      <c r="V12" s="293"/>
    </row>
    <row r="13" spans="1:22">
      <c r="A13" s="162" t="s">
        <v>716</v>
      </c>
      <c r="B13" s="163">
        <v>190</v>
      </c>
      <c r="C13" s="162" t="s">
        <v>65</v>
      </c>
      <c r="D13" s="164">
        <v>1033</v>
      </c>
      <c r="E13" s="165" t="s">
        <v>695</v>
      </c>
      <c r="F13" s="252" t="s">
        <v>696</v>
      </c>
      <c r="G13" s="162" t="s">
        <v>717</v>
      </c>
      <c r="I13" s="195"/>
      <c r="J13" s="166">
        <v>9.19</v>
      </c>
      <c r="K13" s="166">
        <v>11</v>
      </c>
      <c r="L13" s="299"/>
      <c r="M13" s="163" t="s">
        <v>699</v>
      </c>
      <c r="N13" s="166">
        <f t="shared" si="0"/>
        <v>1.8100000000000005</v>
      </c>
      <c r="O13" s="168">
        <f t="shared" si="1"/>
        <v>0.19695321001088145</v>
      </c>
      <c r="P13" s="168"/>
      <c r="Q13" s="168"/>
      <c r="R13" s="168"/>
      <c r="S13" s="167" t="s">
        <v>27</v>
      </c>
      <c r="T13" s="191"/>
      <c r="U13" s="162"/>
      <c r="V13" s="12"/>
    </row>
    <row r="14" spans="1:22">
      <c r="A14" s="162" t="s">
        <v>718</v>
      </c>
      <c r="B14" s="163">
        <v>190</v>
      </c>
      <c r="C14" s="162" t="s">
        <v>65</v>
      </c>
      <c r="D14" s="164">
        <v>1033</v>
      </c>
      <c r="E14" s="165" t="s">
        <v>695</v>
      </c>
      <c r="F14" s="252" t="s">
        <v>696</v>
      </c>
      <c r="G14" s="162" t="s">
        <v>719</v>
      </c>
      <c r="I14" s="12"/>
      <c r="J14" s="166">
        <v>25.75</v>
      </c>
      <c r="K14" s="166">
        <v>27.47</v>
      </c>
      <c r="L14" s="299"/>
      <c r="M14" s="163" t="s">
        <v>699</v>
      </c>
      <c r="N14" s="166">
        <f t="shared" si="0"/>
        <v>1.7199999999999989</v>
      </c>
      <c r="O14" s="168">
        <f t="shared" si="1"/>
        <v>6.6796116504854328E-2</v>
      </c>
      <c r="P14" s="168"/>
      <c r="Q14" s="168"/>
      <c r="R14" s="168"/>
      <c r="S14" s="167" t="s">
        <v>27</v>
      </c>
      <c r="T14" s="191"/>
      <c r="U14" s="162"/>
      <c r="V14" s="12"/>
    </row>
    <row r="15" spans="1:22">
      <c r="A15" s="162" t="s">
        <v>720</v>
      </c>
      <c r="B15" s="163">
        <v>190</v>
      </c>
      <c r="C15" s="162" t="s">
        <v>65</v>
      </c>
      <c r="D15" s="164">
        <v>1033</v>
      </c>
      <c r="E15" s="165" t="s">
        <v>695</v>
      </c>
      <c r="F15" s="252" t="s">
        <v>696</v>
      </c>
      <c r="G15" s="162" t="s">
        <v>721</v>
      </c>
      <c r="I15" s="12"/>
      <c r="J15" s="166">
        <v>16.739999999999998</v>
      </c>
      <c r="K15" s="166">
        <v>17.5</v>
      </c>
      <c r="L15" s="299"/>
      <c r="M15" s="163" t="s">
        <v>699</v>
      </c>
      <c r="N15" s="166">
        <f t="shared" si="0"/>
        <v>0.76000000000000156</v>
      </c>
      <c r="O15" s="168">
        <f t="shared" si="1"/>
        <v>4.5400238948626145E-2</v>
      </c>
      <c r="P15" s="168"/>
      <c r="Q15" s="168"/>
      <c r="R15" s="168"/>
      <c r="S15" s="167" t="s">
        <v>27</v>
      </c>
      <c r="T15" s="191"/>
      <c r="U15" s="162"/>
      <c r="V15" s="12"/>
    </row>
    <row r="16" spans="1:22">
      <c r="A16" s="162" t="s">
        <v>722</v>
      </c>
      <c r="B16" s="163">
        <v>190</v>
      </c>
      <c r="C16" s="162" t="s">
        <v>65</v>
      </c>
      <c r="D16" s="164">
        <v>1033</v>
      </c>
      <c r="E16" s="165" t="s">
        <v>695</v>
      </c>
      <c r="F16" s="252" t="s">
        <v>696</v>
      </c>
      <c r="G16" s="162" t="s">
        <v>723</v>
      </c>
      <c r="I16" s="12"/>
      <c r="J16" s="166">
        <v>15.51</v>
      </c>
      <c r="K16" s="166">
        <v>15.9</v>
      </c>
      <c r="L16" s="299"/>
      <c r="M16" s="163" t="s">
        <v>699</v>
      </c>
      <c r="N16" s="166">
        <f t="shared" si="0"/>
        <v>0.39000000000000057</v>
      </c>
      <c r="O16" s="168">
        <f t="shared" si="1"/>
        <v>2.5145067698259225E-2</v>
      </c>
      <c r="P16" s="168"/>
      <c r="Q16" s="168"/>
      <c r="R16" s="168"/>
      <c r="S16" s="167" t="s">
        <v>27</v>
      </c>
      <c r="T16" s="191"/>
      <c r="U16" s="162"/>
      <c r="V16" s="12"/>
    </row>
    <row r="17" spans="1:22">
      <c r="A17" s="162" t="s">
        <v>724</v>
      </c>
      <c r="B17" s="163">
        <v>190</v>
      </c>
      <c r="C17" s="162" t="s">
        <v>65</v>
      </c>
      <c r="D17" s="164">
        <v>1033</v>
      </c>
      <c r="E17" s="165" t="s">
        <v>695</v>
      </c>
      <c r="F17" s="252" t="s">
        <v>696</v>
      </c>
      <c r="G17" s="162" t="s">
        <v>725</v>
      </c>
      <c r="I17" s="12"/>
      <c r="J17" s="193">
        <v>19.91</v>
      </c>
      <c r="K17" s="193">
        <v>21.73</v>
      </c>
      <c r="L17" s="299"/>
      <c r="M17" s="163" t="s">
        <v>699</v>
      </c>
      <c r="N17" s="166">
        <f t="shared" si="0"/>
        <v>1.8200000000000003</v>
      </c>
      <c r="O17" s="168">
        <f t="shared" si="1"/>
        <v>9.1411351079859385E-2</v>
      </c>
      <c r="P17" s="168"/>
      <c r="Q17" s="168"/>
      <c r="R17" s="168"/>
      <c r="S17" s="167" t="s">
        <v>27</v>
      </c>
      <c r="T17" s="191"/>
      <c r="U17" s="162"/>
      <c r="V17" s="12"/>
    </row>
    <row r="18" spans="1:22">
      <c r="A18" s="162" t="s">
        <v>726</v>
      </c>
      <c r="B18" s="163">
        <v>190</v>
      </c>
      <c r="C18" s="162" t="s">
        <v>65</v>
      </c>
      <c r="D18" s="164">
        <v>1033</v>
      </c>
      <c r="E18" s="165" t="s">
        <v>695</v>
      </c>
      <c r="F18" s="252" t="s">
        <v>696</v>
      </c>
      <c r="G18" s="162" t="s">
        <v>727</v>
      </c>
      <c r="I18" s="12"/>
      <c r="J18" s="193">
        <v>15.44</v>
      </c>
      <c r="K18" s="193">
        <v>15.9</v>
      </c>
      <c r="L18" s="299"/>
      <c r="M18" s="163" t="s">
        <v>699</v>
      </c>
      <c r="N18" s="166">
        <f t="shared" si="0"/>
        <v>0.46000000000000085</v>
      </c>
      <c r="O18" s="168">
        <f t="shared" si="1"/>
        <v>2.9792746113989695E-2</v>
      </c>
      <c r="P18" s="168"/>
      <c r="Q18" s="168"/>
      <c r="R18" s="168"/>
      <c r="S18" s="167" t="s">
        <v>27</v>
      </c>
      <c r="T18" s="191"/>
      <c r="U18" s="162"/>
      <c r="V18" s="12"/>
    </row>
    <row r="19" spans="1:22">
      <c r="A19" s="162" t="s">
        <v>728</v>
      </c>
      <c r="B19" s="163">
        <v>190</v>
      </c>
      <c r="C19" s="162" t="s">
        <v>65</v>
      </c>
      <c r="D19" s="164">
        <v>1033</v>
      </c>
      <c r="E19" s="165" t="s">
        <v>695</v>
      </c>
      <c r="F19" s="252" t="s">
        <v>696</v>
      </c>
      <c r="G19" s="162" t="s">
        <v>729</v>
      </c>
      <c r="I19" s="119"/>
      <c r="J19" s="193">
        <v>30.44</v>
      </c>
      <c r="K19" s="193">
        <v>32.299999999999997</v>
      </c>
      <c r="L19" s="299"/>
      <c r="M19" s="163" t="s">
        <v>699</v>
      </c>
      <c r="N19" s="166">
        <f t="shared" si="0"/>
        <v>1.8599999999999959</v>
      </c>
      <c r="O19" s="168">
        <f t="shared" si="1"/>
        <v>6.1103810775295524E-2</v>
      </c>
      <c r="P19" s="168"/>
      <c r="Q19" s="168"/>
      <c r="R19" s="168"/>
      <c r="S19" s="167" t="s">
        <v>27</v>
      </c>
      <c r="T19" s="191"/>
      <c r="U19" s="162"/>
      <c r="V19" s="12"/>
    </row>
    <row r="20" spans="1:22">
      <c r="A20" s="162" t="s">
        <v>730</v>
      </c>
      <c r="B20" s="163">
        <v>190</v>
      </c>
      <c r="C20" s="162" t="s">
        <v>65</v>
      </c>
      <c r="D20" s="164">
        <v>1033</v>
      </c>
      <c r="E20" s="165" t="s">
        <v>695</v>
      </c>
      <c r="F20" s="252" t="s">
        <v>696</v>
      </c>
      <c r="G20" s="162" t="s">
        <v>731</v>
      </c>
      <c r="I20" s="226" t="s">
        <v>732</v>
      </c>
      <c r="J20" s="166">
        <v>17.29</v>
      </c>
      <c r="K20" s="166">
        <f>18.43-0.5</f>
        <v>17.93</v>
      </c>
      <c r="L20" s="299"/>
      <c r="M20" s="163" t="s">
        <v>699</v>
      </c>
      <c r="N20" s="166">
        <f t="shared" si="0"/>
        <v>0.64000000000000057</v>
      </c>
      <c r="O20" s="168">
        <f t="shared" si="1"/>
        <v>3.7015615962984416E-2</v>
      </c>
      <c r="P20" s="168"/>
      <c r="Q20" s="168"/>
      <c r="R20" s="168"/>
      <c r="S20" s="167" t="s">
        <v>27</v>
      </c>
      <c r="T20" s="191"/>
      <c r="U20" s="162"/>
      <c r="V20" s="12"/>
    </row>
    <row r="21" spans="1:22">
      <c r="A21" s="162" t="s">
        <v>733</v>
      </c>
      <c r="B21" s="163">
        <v>190</v>
      </c>
      <c r="C21" s="316" t="s">
        <v>65</v>
      </c>
      <c r="D21" s="164">
        <v>1033</v>
      </c>
      <c r="E21" s="165" t="s">
        <v>695</v>
      </c>
      <c r="F21" s="252" t="s">
        <v>696</v>
      </c>
      <c r="G21" s="162" t="s">
        <v>734</v>
      </c>
      <c r="I21" s="12"/>
      <c r="J21" s="166">
        <v>4.4000000000000004</v>
      </c>
      <c r="K21" s="166">
        <v>4.8</v>
      </c>
      <c r="L21" s="299"/>
      <c r="M21" s="163" t="s">
        <v>699</v>
      </c>
      <c r="N21" s="166">
        <f t="shared" si="0"/>
        <v>0.39999999999999947</v>
      </c>
      <c r="O21" s="168">
        <f t="shared" si="1"/>
        <v>9.0909090909090787E-2</v>
      </c>
      <c r="P21" s="168"/>
      <c r="Q21" s="168"/>
      <c r="R21" s="168"/>
      <c r="S21" s="167" t="s">
        <v>27</v>
      </c>
      <c r="T21" s="319"/>
      <c r="U21" s="162"/>
      <c r="V21" s="12"/>
    </row>
    <row r="22" spans="1:22">
      <c r="A22" s="162" t="s">
        <v>735</v>
      </c>
      <c r="B22" s="163">
        <v>190</v>
      </c>
      <c r="C22" s="316" t="s">
        <v>65</v>
      </c>
      <c r="D22" s="164">
        <v>1033</v>
      </c>
      <c r="E22" s="165" t="s">
        <v>695</v>
      </c>
      <c r="F22" s="252" t="s">
        <v>696</v>
      </c>
      <c r="G22" s="162" t="s">
        <v>736</v>
      </c>
      <c r="I22" s="12"/>
      <c r="J22" s="166">
        <f>13.32+0.055</f>
        <v>13.375</v>
      </c>
      <c r="K22" s="193">
        <v>13.53</v>
      </c>
      <c r="L22" s="299"/>
      <c r="M22" s="163" t="s">
        <v>699</v>
      </c>
      <c r="N22" s="166">
        <f t="shared" si="0"/>
        <v>0.15499999999999936</v>
      </c>
      <c r="O22" s="168">
        <f t="shared" si="1"/>
        <v>1.1588785046728924E-2</v>
      </c>
      <c r="P22" s="168"/>
      <c r="Q22" s="168"/>
      <c r="R22" s="168"/>
      <c r="S22" s="167" t="s">
        <v>27</v>
      </c>
      <c r="T22" s="319"/>
      <c r="U22" s="162"/>
      <c r="V22" s="12"/>
    </row>
    <row r="23" spans="1:22">
      <c r="A23" s="162" t="s">
        <v>737</v>
      </c>
      <c r="B23" s="163">
        <v>190</v>
      </c>
      <c r="C23" s="316" t="s">
        <v>65</v>
      </c>
      <c r="D23" s="164">
        <v>1033</v>
      </c>
      <c r="E23" s="165" t="s">
        <v>695</v>
      </c>
      <c r="F23" s="252" t="s">
        <v>696</v>
      </c>
      <c r="G23" s="162" t="s">
        <v>738</v>
      </c>
      <c r="I23" s="12"/>
      <c r="J23" s="166">
        <f>12.6+0.06</f>
        <v>12.66</v>
      </c>
      <c r="K23" s="193">
        <v>12.76</v>
      </c>
      <c r="L23" s="299"/>
      <c r="M23" s="163" t="s">
        <v>699</v>
      </c>
      <c r="N23" s="166">
        <f t="shared" si="0"/>
        <v>9.9999999999999645E-2</v>
      </c>
      <c r="O23" s="168">
        <f t="shared" si="1"/>
        <v>7.8988941548182971E-3</v>
      </c>
      <c r="P23" s="168"/>
      <c r="Q23" s="168"/>
      <c r="R23" s="168"/>
      <c r="S23" s="167" t="s">
        <v>27</v>
      </c>
      <c r="T23" s="319"/>
      <c r="U23" s="162"/>
      <c r="V23" s="12"/>
    </row>
    <row r="24" spans="1:22">
      <c r="A24" s="314" t="s">
        <v>739</v>
      </c>
      <c r="B24" s="315">
        <v>190</v>
      </c>
      <c r="C24" s="317" t="s">
        <v>65</v>
      </c>
      <c r="D24" s="324">
        <v>1033</v>
      </c>
      <c r="E24" s="325" t="s">
        <v>695</v>
      </c>
      <c r="F24" s="326" t="s">
        <v>696</v>
      </c>
      <c r="G24" s="162" t="s">
        <v>574</v>
      </c>
      <c r="I24" s="12"/>
      <c r="J24" s="166">
        <f>16+0.06</f>
        <v>16.059999999999999</v>
      </c>
      <c r="K24" s="193">
        <v>16.39</v>
      </c>
      <c r="L24" s="299"/>
      <c r="M24" s="163" t="s">
        <v>699</v>
      </c>
      <c r="N24" s="166">
        <f t="shared" si="0"/>
        <v>0.33000000000000185</v>
      </c>
      <c r="O24" s="168">
        <f t="shared" si="1"/>
        <v>2.0547945205479569E-2</v>
      </c>
      <c r="P24" s="168"/>
      <c r="Q24" s="168"/>
      <c r="R24" s="168"/>
      <c r="S24" s="167" t="s">
        <v>27</v>
      </c>
      <c r="T24" s="320"/>
      <c r="U24" s="314"/>
      <c r="V24" s="12"/>
    </row>
    <row r="25" spans="1:22">
      <c r="A25" s="162" t="s">
        <v>740</v>
      </c>
      <c r="B25" s="163">
        <v>190</v>
      </c>
      <c r="C25" s="162" t="s">
        <v>65</v>
      </c>
      <c r="D25" s="164">
        <v>1033</v>
      </c>
      <c r="E25" s="165" t="s">
        <v>695</v>
      </c>
      <c r="F25" s="252" t="s">
        <v>696</v>
      </c>
      <c r="G25" s="162" t="s">
        <v>741</v>
      </c>
      <c r="I25" s="12"/>
      <c r="J25" s="166">
        <f>17.45+0.05</f>
        <v>17.5</v>
      </c>
      <c r="K25" s="193">
        <v>18.149999999999999</v>
      </c>
      <c r="L25" s="299"/>
      <c r="M25" s="163" t="s">
        <v>699</v>
      </c>
      <c r="N25" s="166">
        <f>K25-J25</f>
        <v>0.64999999999999858</v>
      </c>
      <c r="O25" s="168">
        <f t="shared" si="1"/>
        <v>3.7142857142857061E-2</v>
      </c>
      <c r="P25" s="168"/>
      <c r="Q25" s="168"/>
      <c r="R25" s="168"/>
      <c r="S25" s="167" t="s">
        <v>27</v>
      </c>
      <c r="T25" s="320"/>
      <c r="U25" s="314"/>
      <c r="V25" s="12"/>
    </row>
    <row r="26" spans="1:22">
      <c r="A26" s="162" t="s">
        <v>742</v>
      </c>
      <c r="B26" s="163">
        <v>190</v>
      </c>
      <c r="C26" s="162" t="s">
        <v>65</v>
      </c>
      <c r="D26" s="164">
        <v>1033</v>
      </c>
      <c r="E26" s="165" t="s">
        <v>695</v>
      </c>
      <c r="F26" s="252" t="s">
        <v>696</v>
      </c>
      <c r="G26" s="162" t="s">
        <v>743</v>
      </c>
      <c r="I26" s="12"/>
      <c r="J26" s="166">
        <f>13.6+0.06</f>
        <v>13.66</v>
      </c>
      <c r="K26" s="193">
        <f>13.53+0.6</f>
        <v>14.129999999999999</v>
      </c>
      <c r="L26" s="299"/>
      <c r="M26" s="163" t="s">
        <v>699</v>
      </c>
      <c r="N26" s="166">
        <f t="shared" ref="N26:N33" si="2">K26-J26</f>
        <v>0.46999999999999886</v>
      </c>
      <c r="O26" s="168">
        <f t="shared" si="1"/>
        <v>3.4407027818447941E-2</v>
      </c>
      <c r="P26" s="168"/>
      <c r="Q26" s="168"/>
      <c r="R26" s="168"/>
      <c r="S26" s="167" t="s">
        <v>27</v>
      </c>
      <c r="T26" s="320"/>
      <c r="U26" s="314"/>
      <c r="V26" s="12"/>
    </row>
    <row r="27" spans="1:22">
      <c r="A27" s="162" t="s">
        <v>744</v>
      </c>
      <c r="B27" s="163">
        <v>190</v>
      </c>
      <c r="C27" s="162" t="s">
        <v>65</v>
      </c>
      <c r="D27" s="164">
        <v>1033</v>
      </c>
      <c r="E27" s="165" t="s">
        <v>695</v>
      </c>
      <c r="F27" s="252" t="s">
        <v>696</v>
      </c>
      <c r="G27" s="162" t="s">
        <v>745</v>
      </c>
      <c r="I27" s="12"/>
      <c r="J27" s="166">
        <f>12.88+0.06</f>
        <v>12.940000000000001</v>
      </c>
      <c r="K27" s="193">
        <f>12.76+0.6</f>
        <v>13.36</v>
      </c>
      <c r="L27" s="299"/>
      <c r="M27" s="163" t="s">
        <v>699</v>
      </c>
      <c r="N27" s="166">
        <f t="shared" si="2"/>
        <v>0.41999999999999815</v>
      </c>
      <c r="O27" s="168">
        <f t="shared" si="1"/>
        <v>3.2457496136012218E-2</v>
      </c>
      <c r="P27" s="168"/>
      <c r="Q27" s="168"/>
      <c r="R27" s="168"/>
      <c r="S27" s="167" t="s">
        <v>27</v>
      </c>
      <c r="T27" s="320"/>
      <c r="U27" s="314"/>
      <c r="V27" s="12"/>
    </row>
    <row r="28" spans="1:22">
      <c r="A28" s="314" t="s">
        <v>746</v>
      </c>
      <c r="B28" s="163">
        <v>190</v>
      </c>
      <c r="C28" s="162" t="s">
        <v>65</v>
      </c>
      <c r="D28" s="164">
        <v>1033</v>
      </c>
      <c r="E28" s="165" t="s">
        <v>695</v>
      </c>
      <c r="F28" s="252" t="s">
        <v>696</v>
      </c>
      <c r="G28" s="162" t="s">
        <v>747</v>
      </c>
      <c r="I28" s="12"/>
      <c r="J28" s="166">
        <f>16.28+0.05</f>
        <v>16.330000000000002</v>
      </c>
      <c r="K28" s="193">
        <f>16.39+0.6</f>
        <v>16.990000000000002</v>
      </c>
      <c r="L28" s="299"/>
      <c r="M28" s="163" t="s">
        <v>699</v>
      </c>
      <c r="N28" s="166">
        <f t="shared" si="2"/>
        <v>0.66000000000000014</v>
      </c>
      <c r="O28" s="168">
        <f t="shared" si="1"/>
        <v>4.0416411512553589E-2</v>
      </c>
      <c r="P28" s="168"/>
      <c r="Q28" s="168"/>
      <c r="R28" s="168"/>
      <c r="S28" s="167" t="s">
        <v>27</v>
      </c>
      <c r="T28" s="320"/>
      <c r="U28" s="314"/>
      <c r="V28" s="12"/>
    </row>
    <row r="29" spans="1:22">
      <c r="A29" s="162" t="s">
        <v>748</v>
      </c>
      <c r="B29" s="163">
        <v>190</v>
      </c>
      <c r="C29" s="162" t="s">
        <v>65</v>
      </c>
      <c r="D29" s="164">
        <v>1033</v>
      </c>
      <c r="E29" s="165" t="s">
        <v>695</v>
      </c>
      <c r="F29" s="252" t="s">
        <v>696</v>
      </c>
      <c r="G29" s="162" t="s">
        <v>749</v>
      </c>
      <c r="I29" s="12"/>
      <c r="J29" s="166">
        <f>17.73+0.05</f>
        <v>17.78</v>
      </c>
      <c r="K29" s="193">
        <f>18.15+0.6</f>
        <v>18.75</v>
      </c>
      <c r="L29" s="299"/>
      <c r="M29" s="163" t="s">
        <v>699</v>
      </c>
      <c r="N29" s="166">
        <f t="shared" si="2"/>
        <v>0.96999999999999886</v>
      </c>
      <c r="O29" s="168">
        <f t="shared" si="1"/>
        <v>5.4555680539932441E-2</v>
      </c>
      <c r="P29" s="168"/>
      <c r="Q29" s="168"/>
      <c r="R29" s="168"/>
      <c r="S29" s="167" t="s">
        <v>27</v>
      </c>
      <c r="T29" s="320"/>
      <c r="U29" s="314"/>
      <c r="V29" s="12"/>
    </row>
    <row r="30" spans="1:22">
      <c r="A30" s="162" t="s">
        <v>750</v>
      </c>
      <c r="B30" s="163">
        <v>190</v>
      </c>
      <c r="C30" s="162" t="s">
        <v>65</v>
      </c>
      <c r="D30" s="164">
        <v>1033</v>
      </c>
      <c r="E30" s="165" t="s">
        <v>695</v>
      </c>
      <c r="F30" s="252" t="s">
        <v>696</v>
      </c>
      <c r="G30" s="162" t="s">
        <v>751</v>
      </c>
      <c r="I30" s="12"/>
      <c r="J30" s="166">
        <f>13.37+0.06</f>
        <v>13.43</v>
      </c>
      <c r="K30" s="193">
        <v>14.31</v>
      </c>
      <c r="L30" s="299"/>
      <c r="M30" s="163" t="s">
        <v>699</v>
      </c>
      <c r="N30" s="166">
        <f t="shared" si="2"/>
        <v>0.88000000000000078</v>
      </c>
      <c r="O30" s="168">
        <f t="shared" si="1"/>
        <v>6.5524944154877196E-2</v>
      </c>
      <c r="P30" s="168"/>
      <c r="Q30" s="168"/>
      <c r="R30" s="168"/>
      <c r="S30" s="167" t="s">
        <v>27</v>
      </c>
      <c r="T30" s="320"/>
      <c r="U30" s="314"/>
      <c r="V30" s="12"/>
    </row>
    <row r="31" spans="1:22">
      <c r="A31" s="162" t="s">
        <v>752</v>
      </c>
      <c r="B31" s="163">
        <v>190</v>
      </c>
      <c r="C31" s="162" t="s">
        <v>65</v>
      </c>
      <c r="D31" s="164">
        <v>1033</v>
      </c>
      <c r="E31" s="165" t="s">
        <v>695</v>
      </c>
      <c r="F31" s="252" t="s">
        <v>696</v>
      </c>
      <c r="G31" s="162" t="s">
        <v>753</v>
      </c>
      <c r="I31" s="12"/>
      <c r="J31" s="166">
        <f>11.82+0.06</f>
        <v>11.88</v>
      </c>
      <c r="K31" s="193">
        <v>12.65</v>
      </c>
      <c r="L31" s="299"/>
      <c r="M31" s="163" t="s">
        <v>699</v>
      </c>
      <c r="N31" s="166">
        <f t="shared" si="2"/>
        <v>0.76999999999999957</v>
      </c>
      <c r="O31" s="168">
        <f t="shared" si="1"/>
        <v>6.481481481481477E-2</v>
      </c>
      <c r="P31" s="168"/>
      <c r="Q31" s="168"/>
      <c r="R31" s="168"/>
      <c r="S31" s="167" t="s">
        <v>27</v>
      </c>
      <c r="T31" s="320"/>
      <c r="U31" s="314"/>
      <c r="V31" s="12"/>
    </row>
    <row r="32" spans="1:22">
      <c r="A32" s="162" t="s">
        <v>754</v>
      </c>
      <c r="B32" s="163">
        <v>190</v>
      </c>
      <c r="C32" s="162" t="s">
        <v>65</v>
      </c>
      <c r="D32" s="164">
        <v>1033</v>
      </c>
      <c r="E32" s="165" t="s">
        <v>695</v>
      </c>
      <c r="F32" s="252" t="s">
        <v>696</v>
      </c>
      <c r="G32" s="162" t="s">
        <v>755</v>
      </c>
      <c r="I32" s="12"/>
      <c r="J32" s="166">
        <f>12.02+0.06</f>
        <v>12.08</v>
      </c>
      <c r="K32" s="193">
        <v>12.86</v>
      </c>
      <c r="L32" s="299"/>
      <c r="M32" s="163" t="s">
        <v>699</v>
      </c>
      <c r="N32" s="166">
        <f t="shared" si="2"/>
        <v>0.77999999999999936</v>
      </c>
      <c r="O32" s="168">
        <f t="shared" si="1"/>
        <v>6.4569536423841001E-2</v>
      </c>
      <c r="P32" s="168"/>
      <c r="Q32" s="168"/>
      <c r="R32" s="168"/>
      <c r="S32" s="167" t="s">
        <v>27</v>
      </c>
      <c r="T32" s="320"/>
      <c r="U32" s="314"/>
      <c r="V32" s="12"/>
    </row>
    <row r="33" spans="1:22" s="305" customFormat="1" ht="15.75" thickBot="1">
      <c r="A33" s="300" t="s">
        <v>756</v>
      </c>
      <c r="B33" s="301">
        <v>190</v>
      </c>
      <c r="C33" s="300" t="s">
        <v>65</v>
      </c>
      <c r="D33" s="302">
        <v>1033</v>
      </c>
      <c r="E33" s="303" t="s">
        <v>695</v>
      </c>
      <c r="F33" s="304" t="s">
        <v>696</v>
      </c>
      <c r="G33" s="300" t="s">
        <v>757</v>
      </c>
      <c r="I33" s="306"/>
      <c r="J33" s="307">
        <f>14.08+0.06</f>
        <v>14.14</v>
      </c>
      <c r="K33" s="312">
        <v>15.07</v>
      </c>
      <c r="L33" s="311"/>
      <c r="M33" s="301" t="s">
        <v>699</v>
      </c>
      <c r="N33" s="307">
        <f t="shared" si="2"/>
        <v>0.92999999999999972</v>
      </c>
      <c r="O33" s="308">
        <f t="shared" si="1"/>
        <v>6.5770862800565752E-2</v>
      </c>
      <c r="P33" s="308"/>
      <c r="Q33" s="308"/>
      <c r="R33" s="308"/>
      <c r="S33" s="309" t="s">
        <v>27</v>
      </c>
      <c r="T33" s="323"/>
      <c r="U33" s="300"/>
      <c r="V33" s="306"/>
    </row>
    <row r="34" spans="1:22">
      <c r="A34" s="288" t="s">
        <v>758</v>
      </c>
      <c r="B34" s="289">
        <v>150</v>
      </c>
      <c r="C34" s="318" t="s">
        <v>97</v>
      </c>
      <c r="D34" s="290">
        <v>1033</v>
      </c>
      <c r="E34" s="291" t="s">
        <v>695</v>
      </c>
      <c r="F34" s="292" t="s">
        <v>696</v>
      </c>
      <c r="G34" s="288" t="s">
        <v>759</v>
      </c>
      <c r="I34" s="293"/>
      <c r="J34" s="294">
        <f>6.49+0.09</f>
        <v>6.58</v>
      </c>
      <c r="K34" s="294">
        <v>7.18</v>
      </c>
      <c r="L34" s="299"/>
      <c r="M34" s="289" t="s">
        <v>699</v>
      </c>
      <c r="N34" s="294">
        <f>K34-J34</f>
        <v>0.59999999999999964</v>
      </c>
      <c r="O34" s="295">
        <f>N34/J34</f>
        <v>9.1185410334346448E-2</v>
      </c>
      <c r="P34" s="295"/>
      <c r="Q34" s="295"/>
      <c r="R34" s="295"/>
      <c r="S34" s="296" t="s">
        <v>27</v>
      </c>
      <c r="T34" s="321"/>
      <c r="U34" s="288"/>
      <c r="V34" s="293"/>
    </row>
    <row r="35" spans="1:22">
      <c r="A35" s="162" t="s">
        <v>760</v>
      </c>
      <c r="B35" s="163">
        <v>150</v>
      </c>
      <c r="C35" s="316" t="s">
        <v>97</v>
      </c>
      <c r="D35" s="164">
        <v>1033</v>
      </c>
      <c r="E35" s="165" t="s">
        <v>695</v>
      </c>
      <c r="F35" s="252" t="s">
        <v>696</v>
      </c>
      <c r="G35" s="162" t="s">
        <v>761</v>
      </c>
      <c r="I35" s="160"/>
      <c r="J35" s="166">
        <v>10.02</v>
      </c>
      <c r="K35" s="166">
        <v>11.02</v>
      </c>
      <c r="L35" s="299"/>
      <c r="M35" s="289" t="s">
        <v>699</v>
      </c>
      <c r="N35" s="294">
        <f>K35-J35</f>
        <v>1</v>
      </c>
      <c r="O35" s="295">
        <f>N35/J35</f>
        <v>9.9800399201596807E-2</v>
      </c>
      <c r="P35" s="295"/>
      <c r="Q35" s="295"/>
      <c r="R35" s="295"/>
      <c r="S35" s="296" t="s">
        <v>27</v>
      </c>
      <c r="T35" s="191"/>
      <c r="U35" s="162"/>
      <c r="V35" s="12"/>
    </row>
    <row r="36" spans="1:22">
      <c r="A36" s="162" t="s">
        <v>762</v>
      </c>
      <c r="B36" s="163">
        <v>150</v>
      </c>
      <c r="C36" s="316" t="s">
        <v>97</v>
      </c>
      <c r="D36" s="164">
        <v>1033</v>
      </c>
      <c r="E36" s="165" t="s">
        <v>695</v>
      </c>
      <c r="F36" s="252" t="s">
        <v>696</v>
      </c>
      <c r="G36" s="162" t="s">
        <v>763</v>
      </c>
      <c r="I36" s="160"/>
      <c r="J36" s="166">
        <v>14.57</v>
      </c>
      <c r="K36" s="166">
        <v>16.03</v>
      </c>
      <c r="L36" s="299"/>
      <c r="M36" s="289" t="s">
        <v>699</v>
      </c>
      <c r="N36" s="294">
        <f t="shared" ref="N36:N46" si="3">K36-J36</f>
        <v>1.4600000000000009</v>
      </c>
      <c r="O36" s="295">
        <f t="shared" ref="O36:O46" si="4">N36/J36</f>
        <v>0.10020590253946471</v>
      </c>
      <c r="P36" s="295"/>
      <c r="Q36" s="295"/>
      <c r="R36" s="295"/>
      <c r="S36" s="296" t="s">
        <v>27</v>
      </c>
      <c r="T36" s="191"/>
      <c r="U36" s="162"/>
      <c r="V36" s="12"/>
    </row>
    <row r="37" spans="1:22">
      <c r="A37" s="162" t="s">
        <v>764</v>
      </c>
      <c r="B37" s="163">
        <v>150</v>
      </c>
      <c r="C37" s="316" t="s">
        <v>97</v>
      </c>
      <c r="D37" s="164">
        <v>1033</v>
      </c>
      <c r="E37" s="165" t="s">
        <v>695</v>
      </c>
      <c r="F37" s="252" t="s">
        <v>696</v>
      </c>
      <c r="G37" s="162" t="s">
        <v>765</v>
      </c>
      <c r="I37" s="160"/>
      <c r="J37" s="166">
        <v>9</v>
      </c>
      <c r="K37" s="166">
        <v>14.85</v>
      </c>
      <c r="L37" s="299"/>
      <c r="M37" s="289" t="s">
        <v>699</v>
      </c>
      <c r="N37" s="294">
        <f t="shared" si="3"/>
        <v>5.85</v>
      </c>
      <c r="O37" s="295">
        <f t="shared" si="4"/>
        <v>0.64999999999999991</v>
      </c>
      <c r="P37" s="295"/>
      <c r="Q37" s="295"/>
      <c r="R37" s="295"/>
      <c r="S37" s="296" t="s">
        <v>27</v>
      </c>
      <c r="T37" s="191"/>
      <c r="U37" s="162"/>
      <c r="V37" s="12"/>
    </row>
    <row r="38" spans="1:22">
      <c r="A38" s="162" t="s">
        <v>766</v>
      </c>
      <c r="B38" s="163">
        <v>150</v>
      </c>
      <c r="C38" s="162" t="s">
        <v>97</v>
      </c>
      <c r="D38" s="164">
        <v>1033</v>
      </c>
      <c r="E38" s="165" t="s">
        <v>695</v>
      </c>
      <c r="F38" s="252" t="s">
        <v>696</v>
      </c>
      <c r="G38" s="162" t="s">
        <v>767</v>
      </c>
      <c r="I38" s="160"/>
      <c r="J38" s="166">
        <v>9</v>
      </c>
      <c r="K38" s="166">
        <v>14.85</v>
      </c>
      <c r="L38" s="299"/>
      <c r="M38" s="289" t="s">
        <v>699</v>
      </c>
      <c r="N38" s="294">
        <f t="shared" si="3"/>
        <v>5.85</v>
      </c>
      <c r="O38" s="295">
        <f t="shared" si="4"/>
        <v>0.64999999999999991</v>
      </c>
      <c r="P38" s="295"/>
      <c r="Q38" s="295"/>
      <c r="R38" s="295"/>
      <c r="S38" s="296" t="s">
        <v>27</v>
      </c>
      <c r="T38" s="191"/>
      <c r="U38" s="162"/>
      <c r="V38" s="12"/>
    </row>
    <row r="39" spans="1:22">
      <c r="A39" s="162" t="s">
        <v>768</v>
      </c>
      <c r="B39" s="163">
        <v>150</v>
      </c>
      <c r="C39" s="162" t="s">
        <v>97</v>
      </c>
      <c r="D39" s="164">
        <v>1033</v>
      </c>
      <c r="E39" s="165" t="s">
        <v>695</v>
      </c>
      <c r="F39" s="252" t="s">
        <v>696</v>
      </c>
      <c r="G39" s="162" t="s">
        <v>769</v>
      </c>
      <c r="I39" s="160"/>
      <c r="J39" s="166">
        <v>9</v>
      </c>
      <c r="K39" s="166">
        <v>14.85</v>
      </c>
      <c r="L39" s="299"/>
      <c r="M39" s="289" t="s">
        <v>699</v>
      </c>
      <c r="N39" s="294">
        <f t="shared" si="3"/>
        <v>5.85</v>
      </c>
      <c r="O39" s="295">
        <f t="shared" si="4"/>
        <v>0.64999999999999991</v>
      </c>
      <c r="P39" s="295"/>
      <c r="Q39" s="295"/>
      <c r="R39" s="295"/>
      <c r="S39" s="296" t="s">
        <v>27</v>
      </c>
      <c r="T39" s="191"/>
      <c r="U39" s="162"/>
      <c r="V39" s="12"/>
    </row>
    <row r="40" spans="1:22">
      <c r="A40" s="162" t="s">
        <v>770</v>
      </c>
      <c r="B40" s="163">
        <v>150</v>
      </c>
      <c r="C40" s="162" t="s">
        <v>97</v>
      </c>
      <c r="D40" s="164">
        <v>1033</v>
      </c>
      <c r="E40" s="165" t="s">
        <v>695</v>
      </c>
      <c r="F40" s="252" t="s">
        <v>696</v>
      </c>
      <c r="G40" s="162" t="s">
        <v>771</v>
      </c>
      <c r="I40" s="160"/>
      <c r="J40" s="166">
        <v>14.89</v>
      </c>
      <c r="K40" s="166">
        <v>16.38</v>
      </c>
      <c r="L40" s="299"/>
      <c r="M40" s="289" t="s">
        <v>699</v>
      </c>
      <c r="N40" s="294">
        <f t="shared" si="3"/>
        <v>1.4899999999999984</v>
      </c>
      <c r="O40" s="295">
        <f t="shared" si="4"/>
        <v>0.10006715916722622</v>
      </c>
      <c r="P40" s="295"/>
      <c r="Q40" s="295"/>
      <c r="R40" s="295"/>
      <c r="S40" s="296" t="s">
        <v>27</v>
      </c>
      <c r="T40" s="191"/>
      <c r="U40" s="162"/>
      <c r="V40" s="12"/>
    </row>
    <row r="41" spans="1:22">
      <c r="A41" s="162" t="s">
        <v>772</v>
      </c>
      <c r="B41" s="163">
        <v>150</v>
      </c>
      <c r="C41" s="162" t="s">
        <v>97</v>
      </c>
      <c r="D41" s="164">
        <v>1033</v>
      </c>
      <c r="E41" s="165" t="s">
        <v>695</v>
      </c>
      <c r="F41" s="252" t="s">
        <v>696</v>
      </c>
      <c r="G41" s="162" t="s">
        <v>773</v>
      </c>
      <c r="I41" s="160"/>
      <c r="J41" s="166">
        <v>10.8</v>
      </c>
      <c r="K41" s="166">
        <v>13.08</v>
      </c>
      <c r="L41" s="299"/>
      <c r="M41" s="289" t="s">
        <v>699</v>
      </c>
      <c r="N41" s="294">
        <f t="shared" si="3"/>
        <v>2.2799999999999994</v>
      </c>
      <c r="O41" s="295">
        <f t="shared" si="4"/>
        <v>0.21111111111111103</v>
      </c>
      <c r="P41" s="295"/>
      <c r="Q41" s="295"/>
      <c r="R41" s="295"/>
      <c r="S41" s="296" t="s">
        <v>27</v>
      </c>
      <c r="T41" s="191"/>
      <c r="U41" s="162"/>
      <c r="V41" s="12"/>
    </row>
    <row r="42" spans="1:22">
      <c r="A42" s="162" t="s">
        <v>774</v>
      </c>
      <c r="B42" s="163">
        <v>150</v>
      </c>
      <c r="C42" s="162" t="s">
        <v>97</v>
      </c>
      <c r="D42" s="164">
        <v>1033</v>
      </c>
      <c r="E42" s="165" t="s">
        <v>695</v>
      </c>
      <c r="F42" s="252" t="s">
        <v>696</v>
      </c>
      <c r="G42" s="162" t="s">
        <v>775</v>
      </c>
      <c r="I42" s="160"/>
      <c r="J42" s="166">
        <v>11.46</v>
      </c>
      <c r="K42" s="166">
        <v>12.61</v>
      </c>
      <c r="L42" s="299"/>
      <c r="M42" s="289" t="s">
        <v>699</v>
      </c>
      <c r="N42" s="294">
        <f t="shared" si="3"/>
        <v>1.1499999999999986</v>
      </c>
      <c r="O42" s="295">
        <f t="shared" si="4"/>
        <v>0.10034904013961593</v>
      </c>
      <c r="P42" s="295"/>
      <c r="Q42" s="295"/>
      <c r="R42" s="295"/>
      <c r="S42" s="296" t="s">
        <v>27</v>
      </c>
      <c r="T42" s="191"/>
      <c r="U42" s="162"/>
      <c r="V42" s="12"/>
    </row>
    <row r="43" spans="1:22">
      <c r="A43" s="162" t="s">
        <v>776</v>
      </c>
      <c r="B43" s="163">
        <v>150</v>
      </c>
      <c r="C43" s="162" t="s">
        <v>97</v>
      </c>
      <c r="D43" s="164">
        <v>1033</v>
      </c>
      <c r="E43" s="165" t="s">
        <v>695</v>
      </c>
      <c r="F43" s="252" t="s">
        <v>696</v>
      </c>
      <c r="G43" s="162" t="s">
        <v>777</v>
      </c>
      <c r="I43" s="160"/>
      <c r="J43" s="166">
        <v>14.57</v>
      </c>
      <c r="K43" s="166">
        <v>16.03</v>
      </c>
      <c r="L43" s="299"/>
      <c r="M43" s="289" t="s">
        <v>699</v>
      </c>
      <c r="N43" s="294">
        <f t="shared" si="3"/>
        <v>1.4600000000000009</v>
      </c>
      <c r="O43" s="295">
        <f t="shared" si="4"/>
        <v>0.10020590253946471</v>
      </c>
      <c r="P43" s="295"/>
      <c r="Q43" s="295"/>
      <c r="R43" s="295"/>
      <c r="S43" s="296" t="s">
        <v>27</v>
      </c>
      <c r="T43" s="191"/>
      <c r="U43" s="162"/>
      <c r="V43" s="12"/>
    </row>
    <row r="44" spans="1:22">
      <c r="A44" s="162" t="s">
        <v>778</v>
      </c>
      <c r="B44" s="163">
        <v>150</v>
      </c>
      <c r="C44" s="162" t="s">
        <v>97</v>
      </c>
      <c r="D44" s="164">
        <v>1033</v>
      </c>
      <c r="E44" s="165" t="s">
        <v>695</v>
      </c>
      <c r="F44" s="252" t="s">
        <v>696</v>
      </c>
      <c r="G44" s="162" t="s">
        <v>779</v>
      </c>
      <c r="I44" s="160"/>
      <c r="J44" s="166">
        <v>5.82</v>
      </c>
      <c r="K44" s="166">
        <v>6.4</v>
      </c>
      <c r="L44" s="299"/>
      <c r="M44" s="289" t="s">
        <v>699</v>
      </c>
      <c r="N44" s="294">
        <f t="shared" si="3"/>
        <v>0.58000000000000007</v>
      </c>
      <c r="O44" s="295">
        <f t="shared" si="4"/>
        <v>9.9656357388316158E-2</v>
      </c>
      <c r="P44" s="295"/>
      <c r="Q44" s="295"/>
      <c r="R44" s="295"/>
      <c r="S44" s="296" t="s">
        <v>27</v>
      </c>
      <c r="T44" s="191"/>
      <c r="U44" s="162"/>
      <c r="V44" s="12"/>
    </row>
    <row r="45" spans="1:22">
      <c r="A45" s="162" t="s">
        <v>780</v>
      </c>
      <c r="B45" s="163">
        <v>150</v>
      </c>
      <c r="C45" s="162" t="s">
        <v>97</v>
      </c>
      <c r="D45" s="164">
        <v>1033</v>
      </c>
      <c r="E45" s="165" t="s">
        <v>695</v>
      </c>
      <c r="F45" s="252" t="s">
        <v>696</v>
      </c>
      <c r="G45" s="162" t="s">
        <v>781</v>
      </c>
      <c r="I45" s="160"/>
      <c r="J45" s="166">
        <v>10.58</v>
      </c>
      <c r="K45" s="166">
        <v>11</v>
      </c>
      <c r="L45" s="299"/>
      <c r="M45" s="289" t="s">
        <v>699</v>
      </c>
      <c r="N45" s="294">
        <f t="shared" si="3"/>
        <v>0.41999999999999993</v>
      </c>
      <c r="O45" s="295">
        <f t="shared" si="4"/>
        <v>3.9697542533081276E-2</v>
      </c>
      <c r="P45" s="295"/>
      <c r="Q45" s="295"/>
      <c r="R45" s="295"/>
      <c r="S45" s="296" t="s">
        <v>27</v>
      </c>
      <c r="T45" s="191"/>
      <c r="U45" s="162"/>
      <c r="V45" s="12"/>
    </row>
    <row r="46" spans="1:22">
      <c r="A46" s="162" t="s">
        <v>782</v>
      </c>
      <c r="B46" s="163">
        <v>150</v>
      </c>
      <c r="C46" s="162" t="s">
        <v>97</v>
      </c>
      <c r="D46" s="164">
        <v>1033</v>
      </c>
      <c r="E46" s="165" t="s">
        <v>695</v>
      </c>
      <c r="F46" s="252" t="s">
        <v>696</v>
      </c>
      <c r="G46" s="162" t="s">
        <v>783</v>
      </c>
      <c r="I46" s="160"/>
      <c r="J46" s="166">
        <v>8.56</v>
      </c>
      <c r="K46" s="327">
        <v>9.35</v>
      </c>
      <c r="L46" s="299"/>
      <c r="M46" s="289" t="s">
        <v>699</v>
      </c>
      <c r="N46" s="294">
        <f t="shared" si="3"/>
        <v>0.78999999999999915</v>
      </c>
      <c r="O46" s="295">
        <f t="shared" si="4"/>
        <v>9.2289719626168124E-2</v>
      </c>
      <c r="P46" s="295"/>
      <c r="Q46" s="295"/>
      <c r="R46" s="295"/>
      <c r="S46" s="296" t="s">
        <v>27</v>
      </c>
      <c r="T46" s="191"/>
      <c r="U46" s="162"/>
      <c r="V46" s="12"/>
    </row>
  </sheetData>
  <autoFilter ref="A2:WMD46" xr:uid="{04FA48A1-953B-4CBB-BCCD-3B50D12F2940}"/>
  <phoneticPr fontId="17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E24B-A392-4F33-AC35-F494ED547A4C}">
  <sheetPr codeName="Tabelle2"/>
  <dimension ref="A1:GY28"/>
  <sheetViews>
    <sheetView zoomScale="120" zoomScaleNormal="120" workbookViewId="0">
      <selection activeCell="C42" sqref="C42"/>
    </sheetView>
  </sheetViews>
  <sheetFormatPr baseColWidth="10" defaultColWidth="9.140625" defaultRowHeight="15"/>
  <cols>
    <col min="1" max="1" width="19.42578125" customWidth="1"/>
    <col min="3" max="3" width="17.42578125" customWidth="1"/>
    <col min="5" max="5" width="14.140625" customWidth="1"/>
    <col min="6" max="6" width="52" customWidth="1"/>
    <col min="9" max="9" width="12" bestFit="1" customWidth="1"/>
    <col min="10" max="10" width="13.140625" customWidth="1"/>
    <col min="11" max="12" width="17.42578125" customWidth="1"/>
    <col min="15" max="15" width="0" hidden="1" customWidth="1"/>
    <col min="16" max="16" width="12.7109375" customWidth="1"/>
    <col min="17" max="17" width="13" customWidth="1"/>
    <col min="20" max="20" width="0" hidden="1" customWidth="1"/>
    <col min="21" max="21" width="11.42578125" customWidth="1"/>
    <col min="22" max="22" width="12.140625" customWidth="1"/>
    <col min="26" max="26" width="17.42578125" customWidth="1"/>
  </cols>
  <sheetData>
    <row r="1" spans="1:26">
      <c r="H1" s="2">
        <v>45931</v>
      </c>
    </row>
    <row r="2" spans="1:26" ht="32.25" customHeight="1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6</v>
      </c>
      <c r="H2" s="5" t="s">
        <v>8</v>
      </c>
      <c r="I2" s="141" t="s">
        <v>784</v>
      </c>
      <c r="J2" s="141" t="s">
        <v>784</v>
      </c>
      <c r="K2" s="141" t="s">
        <v>785</v>
      </c>
      <c r="L2" s="141"/>
      <c r="M2" s="142" t="s">
        <v>12</v>
      </c>
      <c r="N2" s="142" t="s">
        <v>13</v>
      </c>
      <c r="O2" s="140" t="s">
        <v>786</v>
      </c>
      <c r="P2" s="140" t="s">
        <v>786</v>
      </c>
      <c r="Q2" s="140" t="s">
        <v>787</v>
      </c>
      <c r="R2" s="139" t="s">
        <v>12</v>
      </c>
      <c r="S2" s="139" t="s">
        <v>13</v>
      </c>
      <c r="T2" s="145" t="s">
        <v>788</v>
      </c>
      <c r="U2" s="145" t="s">
        <v>788</v>
      </c>
      <c r="V2" s="145" t="s">
        <v>789</v>
      </c>
      <c r="W2" s="146" t="s">
        <v>12</v>
      </c>
      <c r="X2" s="146" t="s">
        <v>13</v>
      </c>
      <c r="Y2" s="7" t="s">
        <v>14</v>
      </c>
      <c r="Z2" s="151" t="s">
        <v>11</v>
      </c>
    </row>
    <row r="3" spans="1:26">
      <c r="A3" s="9" t="s">
        <v>790</v>
      </c>
      <c r="B3" s="10">
        <v>150</v>
      </c>
      <c r="C3" s="9" t="s">
        <v>97</v>
      </c>
      <c r="D3" s="10" t="s">
        <v>791</v>
      </c>
      <c r="E3" s="11" t="s">
        <v>792</v>
      </c>
      <c r="F3" s="9" t="s">
        <v>793</v>
      </c>
      <c r="H3" s="26"/>
      <c r="I3" s="149">
        <v>14.75</v>
      </c>
      <c r="J3" s="149">
        <f t="shared" ref="J3:J16" si="0">I3-0.18</f>
        <v>14.57</v>
      </c>
      <c r="K3" s="149">
        <v>15.93</v>
      </c>
      <c r="L3" s="149"/>
      <c r="M3" s="143">
        <f t="shared" ref="M3:M28" si="1">K3-J3</f>
        <v>1.3599999999999994</v>
      </c>
      <c r="N3" s="144">
        <f t="shared" ref="N3:N28" si="2">M3/J3</f>
        <v>9.3342484557309494E-2</v>
      </c>
      <c r="O3" s="150">
        <v>14.35</v>
      </c>
      <c r="P3" s="150">
        <f t="shared" ref="P3:P16" si="3">O3-0.18</f>
        <v>14.17</v>
      </c>
      <c r="Q3" s="150">
        <v>15.211</v>
      </c>
      <c r="R3" s="31">
        <f t="shared" ref="R3:R16" si="4">Q3-P3</f>
        <v>1.0410000000000004</v>
      </c>
      <c r="S3" s="138">
        <f t="shared" ref="S3:S16" si="5">R3/P3</f>
        <v>7.3465067043048726E-2</v>
      </c>
      <c r="T3" s="153">
        <v>14.07</v>
      </c>
      <c r="U3" s="153">
        <f t="shared" ref="U3:U16" si="6">T3-0.18</f>
        <v>13.89</v>
      </c>
      <c r="V3" s="153">
        <v>14.7735</v>
      </c>
      <c r="W3" s="147">
        <f t="shared" ref="W3:W16" si="7">V3-U3</f>
        <v>0.88349999999999973</v>
      </c>
      <c r="X3" s="148">
        <f t="shared" ref="X3:X16" si="8">W3/U3</f>
        <v>6.3606911447084205E-2</v>
      </c>
      <c r="Y3" s="36" t="s">
        <v>27</v>
      </c>
      <c r="Z3" s="202" t="s">
        <v>794</v>
      </c>
    </row>
    <row r="4" spans="1:26">
      <c r="A4" s="9" t="s">
        <v>795</v>
      </c>
      <c r="B4" s="10">
        <v>150</v>
      </c>
      <c r="C4" s="9" t="s">
        <v>97</v>
      </c>
      <c r="D4" s="10">
        <v>1001</v>
      </c>
      <c r="E4" s="11" t="s">
        <v>792</v>
      </c>
      <c r="F4" s="9" t="s">
        <v>796</v>
      </c>
      <c r="H4" s="26"/>
      <c r="I4" s="149">
        <v>15.77</v>
      </c>
      <c r="J4" s="149">
        <f t="shared" si="0"/>
        <v>15.59</v>
      </c>
      <c r="K4" s="149">
        <v>17.189299999999999</v>
      </c>
      <c r="L4" s="149"/>
      <c r="M4" s="143">
        <f t="shared" si="1"/>
        <v>1.5992999999999995</v>
      </c>
      <c r="N4" s="144">
        <f t="shared" si="2"/>
        <v>0.10258499037844769</v>
      </c>
      <c r="O4" s="150">
        <v>15.37</v>
      </c>
      <c r="P4" s="150">
        <f t="shared" si="3"/>
        <v>15.19</v>
      </c>
      <c r="Q4" s="150">
        <v>16.445899999999998</v>
      </c>
      <c r="R4" s="31">
        <f t="shared" si="4"/>
        <v>1.2558999999999987</v>
      </c>
      <c r="S4" s="138">
        <f t="shared" si="5"/>
        <v>8.2679394338380424E-2</v>
      </c>
      <c r="T4" s="153">
        <v>15.07</v>
      </c>
      <c r="U4" s="153">
        <f t="shared" si="6"/>
        <v>14.89</v>
      </c>
      <c r="V4" s="153">
        <v>15.823500000000001</v>
      </c>
      <c r="W4" s="147">
        <f t="shared" si="7"/>
        <v>0.93350000000000044</v>
      </c>
      <c r="X4" s="148">
        <f t="shared" si="8"/>
        <v>6.2693082605775718E-2</v>
      </c>
      <c r="Y4" s="36" t="s">
        <v>27</v>
      </c>
      <c r="Z4" s="202" t="s">
        <v>794</v>
      </c>
    </row>
    <row r="5" spans="1:26">
      <c r="A5" s="9" t="s">
        <v>797</v>
      </c>
      <c r="B5" s="10">
        <v>150</v>
      </c>
      <c r="C5" s="9" t="s">
        <v>97</v>
      </c>
      <c r="D5" s="10" t="s">
        <v>791</v>
      </c>
      <c r="E5" s="11" t="s">
        <v>792</v>
      </c>
      <c r="F5" s="9" t="s">
        <v>798</v>
      </c>
      <c r="H5" s="26"/>
      <c r="I5" s="149">
        <v>15.77</v>
      </c>
      <c r="J5" s="149">
        <f t="shared" si="0"/>
        <v>15.59</v>
      </c>
      <c r="K5" s="149">
        <v>17.189299999999999</v>
      </c>
      <c r="L5" s="149"/>
      <c r="M5" s="143">
        <f t="shared" si="1"/>
        <v>1.5992999999999995</v>
      </c>
      <c r="N5" s="144">
        <f t="shared" si="2"/>
        <v>0.10258499037844769</v>
      </c>
      <c r="O5" s="150">
        <v>15.37</v>
      </c>
      <c r="P5" s="150">
        <f t="shared" si="3"/>
        <v>15.19</v>
      </c>
      <c r="Q5" s="150">
        <v>16.445899999999998</v>
      </c>
      <c r="R5" s="31">
        <f t="shared" si="4"/>
        <v>1.2558999999999987</v>
      </c>
      <c r="S5" s="138">
        <f t="shared" si="5"/>
        <v>8.2679394338380424E-2</v>
      </c>
      <c r="T5" s="153">
        <v>15.07</v>
      </c>
      <c r="U5" s="153">
        <f t="shared" si="6"/>
        <v>14.89</v>
      </c>
      <c r="V5" s="153">
        <v>15.823500000000001</v>
      </c>
      <c r="W5" s="147">
        <f t="shared" si="7"/>
        <v>0.93350000000000044</v>
      </c>
      <c r="X5" s="148">
        <f t="shared" si="8"/>
        <v>6.2693082605775718E-2</v>
      </c>
      <c r="Y5" s="36" t="s">
        <v>27</v>
      </c>
      <c r="Z5" s="202" t="s">
        <v>794</v>
      </c>
    </row>
    <row r="6" spans="1:26">
      <c r="A6" s="9" t="s">
        <v>799</v>
      </c>
      <c r="B6" s="10">
        <v>150</v>
      </c>
      <c r="C6" s="9" t="s">
        <v>97</v>
      </c>
      <c r="D6" s="10" t="s">
        <v>791</v>
      </c>
      <c r="E6" s="11" t="s">
        <v>792</v>
      </c>
      <c r="F6" s="9" t="s">
        <v>800</v>
      </c>
      <c r="H6" s="26"/>
      <c r="I6" s="149">
        <v>11.64</v>
      </c>
      <c r="J6" s="149">
        <f t="shared" si="0"/>
        <v>11.46</v>
      </c>
      <c r="K6" s="149">
        <v>12.804</v>
      </c>
      <c r="L6" s="149"/>
      <c r="M6" s="143">
        <f t="shared" si="1"/>
        <v>1.3439999999999994</v>
      </c>
      <c r="N6" s="144">
        <f t="shared" si="2"/>
        <v>0.11727748691099471</v>
      </c>
      <c r="O6" s="150">
        <v>11.44</v>
      </c>
      <c r="P6" s="150">
        <f t="shared" si="3"/>
        <v>11.26</v>
      </c>
      <c r="Q6" s="150">
        <v>12.2408</v>
      </c>
      <c r="R6" s="31">
        <f t="shared" si="4"/>
        <v>0.98080000000000034</v>
      </c>
      <c r="S6" s="138">
        <f t="shared" si="5"/>
        <v>8.7104795737122584E-2</v>
      </c>
      <c r="T6" s="153">
        <v>11.21</v>
      </c>
      <c r="U6" s="153">
        <f t="shared" si="6"/>
        <v>11.030000000000001</v>
      </c>
      <c r="V6" s="153">
        <v>11.7705</v>
      </c>
      <c r="W6" s="147">
        <f t="shared" si="7"/>
        <v>0.74049999999999905</v>
      </c>
      <c r="X6" s="148">
        <f t="shared" si="8"/>
        <v>6.713508612873971E-2</v>
      </c>
      <c r="Y6" s="36" t="s">
        <v>27</v>
      </c>
      <c r="Z6" s="202" t="s">
        <v>794</v>
      </c>
    </row>
    <row r="7" spans="1:26">
      <c r="A7" s="9" t="s">
        <v>801</v>
      </c>
      <c r="B7" s="10">
        <v>150</v>
      </c>
      <c r="C7" s="9" t="s">
        <v>97</v>
      </c>
      <c r="D7" s="10" t="s">
        <v>791</v>
      </c>
      <c r="E7" s="11" t="s">
        <v>792</v>
      </c>
      <c r="F7" s="9" t="s">
        <v>802</v>
      </c>
      <c r="H7" s="26"/>
      <c r="I7" s="149">
        <v>14.04</v>
      </c>
      <c r="J7" s="149">
        <f t="shared" si="0"/>
        <v>13.86</v>
      </c>
      <c r="K7" s="149">
        <v>15.303599999999999</v>
      </c>
      <c r="L7" s="149"/>
      <c r="M7" s="143">
        <f t="shared" si="1"/>
        <v>1.4436</v>
      </c>
      <c r="N7" s="144">
        <f t="shared" si="2"/>
        <v>0.10415584415584415</v>
      </c>
      <c r="O7" s="150">
        <v>13.64</v>
      </c>
      <c r="P7" s="150">
        <f t="shared" si="3"/>
        <v>13.46</v>
      </c>
      <c r="Q7" s="150">
        <v>14.594800000000001</v>
      </c>
      <c r="R7" s="31">
        <f t="shared" si="4"/>
        <v>1.1348000000000003</v>
      </c>
      <c r="S7" s="138">
        <f t="shared" si="5"/>
        <v>8.4309063893016359E-2</v>
      </c>
      <c r="T7" s="153">
        <v>13.37</v>
      </c>
      <c r="U7" s="153">
        <f t="shared" si="6"/>
        <v>13.19</v>
      </c>
      <c r="V7" s="153">
        <v>14.038499999999999</v>
      </c>
      <c r="W7" s="147">
        <f t="shared" si="7"/>
        <v>0.84849999999999959</v>
      </c>
      <c r="X7" s="148">
        <f t="shared" si="8"/>
        <v>6.4329037149355547E-2</v>
      </c>
      <c r="Y7" s="36" t="s">
        <v>27</v>
      </c>
      <c r="Z7" s="202" t="s">
        <v>794</v>
      </c>
    </row>
    <row r="8" spans="1:26">
      <c r="A8" s="9" t="s">
        <v>803</v>
      </c>
      <c r="B8" s="10">
        <v>150</v>
      </c>
      <c r="C8" s="9" t="s">
        <v>97</v>
      </c>
      <c r="D8" s="10" t="s">
        <v>791</v>
      </c>
      <c r="E8" s="11" t="s">
        <v>792</v>
      </c>
      <c r="F8" s="9" t="s">
        <v>804</v>
      </c>
      <c r="H8" s="26"/>
      <c r="I8" s="149">
        <v>10.78</v>
      </c>
      <c r="J8" s="149">
        <f t="shared" si="0"/>
        <v>10.6</v>
      </c>
      <c r="K8" s="149">
        <v>11.9658</v>
      </c>
      <c r="L8" s="149"/>
      <c r="M8" s="143">
        <f t="shared" si="1"/>
        <v>1.3658000000000001</v>
      </c>
      <c r="N8" s="144">
        <f t="shared" si="2"/>
        <v>0.1288490566037736</v>
      </c>
      <c r="O8" s="150">
        <v>10.38</v>
      </c>
      <c r="P8" s="150">
        <f t="shared" si="3"/>
        <v>10.200000000000001</v>
      </c>
      <c r="Q8" s="150">
        <v>11.1066</v>
      </c>
      <c r="R8" s="31">
        <f t="shared" si="4"/>
        <v>0.90659999999999918</v>
      </c>
      <c r="S8" s="138">
        <f t="shared" si="5"/>
        <v>8.8882352941176385E-2</v>
      </c>
      <c r="T8" s="153">
        <v>10.17</v>
      </c>
      <c r="U8" s="153">
        <f t="shared" si="6"/>
        <v>9.99</v>
      </c>
      <c r="V8" s="153">
        <v>10.6785</v>
      </c>
      <c r="W8" s="147">
        <f t="shared" si="7"/>
        <v>0.68849999999999945</v>
      </c>
      <c r="X8" s="148">
        <f t="shared" si="8"/>
        <v>6.8918918918918867E-2</v>
      </c>
      <c r="Y8" s="36" t="s">
        <v>27</v>
      </c>
      <c r="Z8" s="202" t="s">
        <v>794</v>
      </c>
    </row>
    <row r="9" spans="1:26">
      <c r="A9" s="9" t="s">
        <v>805</v>
      </c>
      <c r="B9" s="10">
        <v>150</v>
      </c>
      <c r="C9" s="9" t="s">
        <v>97</v>
      </c>
      <c r="D9" s="10" t="s">
        <v>791</v>
      </c>
      <c r="E9" s="11" t="s">
        <v>792</v>
      </c>
      <c r="F9" s="9" t="s">
        <v>806</v>
      </c>
      <c r="H9" s="26"/>
      <c r="I9" s="149">
        <v>9.76</v>
      </c>
      <c r="J9" s="149">
        <f t="shared" si="0"/>
        <v>9.58</v>
      </c>
      <c r="K9" s="149">
        <v>10.833600000000001</v>
      </c>
      <c r="L9" s="149"/>
      <c r="M9" s="143">
        <f t="shared" si="1"/>
        <v>1.2536000000000005</v>
      </c>
      <c r="N9" s="144">
        <f t="shared" si="2"/>
        <v>0.13085594989561591</v>
      </c>
      <c r="O9" s="150">
        <v>9.36</v>
      </c>
      <c r="P9" s="150">
        <f t="shared" si="3"/>
        <v>9.18</v>
      </c>
      <c r="Q9" s="150">
        <v>10.108799999999999</v>
      </c>
      <c r="R9" s="31">
        <f t="shared" si="4"/>
        <v>0.92879999999999896</v>
      </c>
      <c r="S9" s="138">
        <f t="shared" si="5"/>
        <v>0.10117647058823519</v>
      </c>
      <c r="T9" s="153">
        <v>9.17</v>
      </c>
      <c r="U9" s="153">
        <f t="shared" si="6"/>
        <v>8.99</v>
      </c>
      <c r="V9" s="153">
        <v>9.6743500000000004</v>
      </c>
      <c r="W9" s="147">
        <f t="shared" si="7"/>
        <v>0.68435000000000024</v>
      </c>
      <c r="X9" s="148">
        <f t="shared" si="8"/>
        <v>7.6123470522803133E-2</v>
      </c>
      <c r="Y9" s="36" t="s">
        <v>27</v>
      </c>
      <c r="Z9" s="202" t="s">
        <v>794</v>
      </c>
    </row>
    <row r="10" spans="1:26">
      <c r="A10" s="9" t="s">
        <v>807</v>
      </c>
      <c r="B10" s="10">
        <v>150</v>
      </c>
      <c r="C10" s="9" t="s">
        <v>97</v>
      </c>
      <c r="D10" s="10" t="s">
        <v>791</v>
      </c>
      <c r="E10" s="11" t="s">
        <v>792</v>
      </c>
      <c r="F10" s="9" t="s">
        <v>808</v>
      </c>
      <c r="H10" s="26"/>
      <c r="I10" s="149">
        <v>8.74</v>
      </c>
      <c r="J10" s="149">
        <f t="shared" si="0"/>
        <v>8.56</v>
      </c>
      <c r="K10" s="149">
        <v>9.7013999999999996</v>
      </c>
      <c r="L10" s="149"/>
      <c r="M10" s="143">
        <f t="shared" si="1"/>
        <v>1.1413999999999991</v>
      </c>
      <c r="N10" s="144">
        <f t="shared" si="2"/>
        <v>0.13334112149532698</v>
      </c>
      <c r="O10" s="150">
        <v>8.34</v>
      </c>
      <c r="P10" s="150">
        <f t="shared" si="3"/>
        <v>8.16</v>
      </c>
      <c r="Q10" s="150">
        <v>9.0071999999999992</v>
      </c>
      <c r="R10" s="31">
        <f t="shared" si="4"/>
        <v>0.84719999999999906</v>
      </c>
      <c r="S10" s="138">
        <f t="shared" si="5"/>
        <v>0.10382352941176459</v>
      </c>
      <c r="T10" s="153">
        <v>8.17</v>
      </c>
      <c r="U10" s="153">
        <f t="shared" si="6"/>
        <v>7.99</v>
      </c>
      <c r="V10" s="153">
        <v>8.5785</v>
      </c>
      <c r="W10" s="147">
        <f t="shared" si="7"/>
        <v>0.5884999999999998</v>
      </c>
      <c r="X10" s="148">
        <f t="shared" si="8"/>
        <v>7.3654568210262797E-2</v>
      </c>
      <c r="Y10" s="36" t="s">
        <v>27</v>
      </c>
      <c r="Z10" s="202" t="s">
        <v>794</v>
      </c>
    </row>
    <row r="11" spans="1:26">
      <c r="A11" s="9" t="s">
        <v>809</v>
      </c>
      <c r="B11" s="10">
        <v>150</v>
      </c>
      <c r="C11" s="9" t="s">
        <v>97</v>
      </c>
      <c r="D11" s="10" t="s">
        <v>791</v>
      </c>
      <c r="E11" s="11" t="s">
        <v>792</v>
      </c>
      <c r="F11" s="9" t="s">
        <v>810</v>
      </c>
      <c r="H11" s="26"/>
      <c r="I11" s="149">
        <v>17.510000000000002</v>
      </c>
      <c r="J11" s="149">
        <f t="shared" si="0"/>
        <v>17.330000000000002</v>
      </c>
      <c r="K11" s="149">
        <v>19.261000000000003</v>
      </c>
      <c r="L11" s="149"/>
      <c r="M11" s="143">
        <f t="shared" si="1"/>
        <v>1.9310000000000009</v>
      </c>
      <c r="N11" s="144">
        <f t="shared" si="2"/>
        <v>0.11142527409117142</v>
      </c>
      <c r="O11" s="150">
        <v>16.809999999999999</v>
      </c>
      <c r="P11" s="150">
        <f t="shared" si="3"/>
        <v>16.63</v>
      </c>
      <c r="Q11" s="150">
        <v>17.986699999999999</v>
      </c>
      <c r="R11" s="31">
        <f t="shared" si="4"/>
        <v>1.3567</v>
      </c>
      <c r="S11" s="138">
        <f t="shared" si="5"/>
        <v>8.1581479254359601E-2</v>
      </c>
      <c r="T11" s="153">
        <v>16.47</v>
      </c>
      <c r="U11" s="153">
        <f t="shared" si="6"/>
        <v>16.29</v>
      </c>
      <c r="V11" s="153">
        <v>17.293499999999998</v>
      </c>
      <c r="W11" s="147">
        <f t="shared" si="7"/>
        <v>1.0034999999999989</v>
      </c>
      <c r="X11" s="148">
        <f t="shared" si="8"/>
        <v>6.1602209944751317E-2</v>
      </c>
      <c r="Y11" s="36" t="s">
        <v>27</v>
      </c>
      <c r="Z11" s="202" t="s">
        <v>794</v>
      </c>
    </row>
    <row r="12" spans="1:26">
      <c r="A12" s="9" t="s">
        <v>811</v>
      </c>
      <c r="B12" s="10">
        <v>150</v>
      </c>
      <c r="C12" s="9" t="s">
        <v>97</v>
      </c>
      <c r="D12" s="10" t="s">
        <v>791</v>
      </c>
      <c r="E12" s="11" t="s">
        <v>792</v>
      </c>
      <c r="F12" s="9" t="s">
        <v>812</v>
      </c>
      <c r="H12" s="26"/>
      <c r="I12" s="149">
        <v>10.67</v>
      </c>
      <c r="J12" s="149">
        <f t="shared" si="0"/>
        <v>10.49</v>
      </c>
      <c r="K12" s="149">
        <v>11.8437</v>
      </c>
      <c r="L12" s="149"/>
      <c r="M12" s="143">
        <f t="shared" si="1"/>
        <v>1.3536999999999999</v>
      </c>
      <c r="N12" s="144">
        <f t="shared" si="2"/>
        <v>0.12904671115347949</v>
      </c>
      <c r="O12" s="150">
        <v>10.27</v>
      </c>
      <c r="P12" s="150">
        <f t="shared" si="3"/>
        <v>10.09</v>
      </c>
      <c r="Q12" s="150">
        <v>10.988899999999999</v>
      </c>
      <c r="R12" s="31">
        <f t="shared" si="4"/>
        <v>0.89889999999999937</v>
      </c>
      <c r="S12" s="138">
        <f t="shared" si="5"/>
        <v>8.908820614469766E-2</v>
      </c>
      <c r="T12" s="153">
        <v>10.07</v>
      </c>
      <c r="U12" s="153">
        <f t="shared" si="6"/>
        <v>9.89</v>
      </c>
      <c r="V12" s="153">
        <v>10.573500000000001</v>
      </c>
      <c r="W12" s="147">
        <f t="shared" si="7"/>
        <v>0.68350000000000044</v>
      </c>
      <c r="X12" s="148">
        <f t="shared" si="8"/>
        <v>6.9110212335692658E-2</v>
      </c>
      <c r="Y12" s="36" t="s">
        <v>27</v>
      </c>
      <c r="Z12" s="202" t="s">
        <v>794</v>
      </c>
    </row>
    <row r="13" spans="1:26">
      <c r="A13" s="9" t="s">
        <v>813</v>
      </c>
      <c r="B13" s="10">
        <v>150</v>
      </c>
      <c r="C13" s="9" t="s">
        <v>97</v>
      </c>
      <c r="D13" s="10" t="s">
        <v>791</v>
      </c>
      <c r="E13" s="11" t="s">
        <v>792</v>
      </c>
      <c r="F13" s="9" t="s">
        <v>814</v>
      </c>
      <c r="H13" s="26"/>
      <c r="I13" s="149">
        <v>10.67</v>
      </c>
      <c r="J13" s="149">
        <f t="shared" si="0"/>
        <v>10.49</v>
      </c>
      <c r="K13" s="149">
        <v>11.8437</v>
      </c>
      <c r="L13" s="149"/>
      <c r="M13" s="143">
        <f t="shared" si="1"/>
        <v>1.3536999999999999</v>
      </c>
      <c r="N13" s="144">
        <f t="shared" si="2"/>
        <v>0.12904671115347949</v>
      </c>
      <c r="O13" s="150">
        <v>10.27</v>
      </c>
      <c r="P13" s="150">
        <f t="shared" si="3"/>
        <v>10.09</v>
      </c>
      <c r="Q13" s="150">
        <v>10.988899999999999</v>
      </c>
      <c r="R13" s="31">
        <f t="shared" si="4"/>
        <v>0.89889999999999937</v>
      </c>
      <c r="S13" s="138">
        <f t="shared" si="5"/>
        <v>8.908820614469766E-2</v>
      </c>
      <c r="T13" s="153">
        <v>10.07</v>
      </c>
      <c r="U13" s="153">
        <f t="shared" si="6"/>
        <v>9.89</v>
      </c>
      <c r="V13" s="153">
        <v>10.573500000000001</v>
      </c>
      <c r="W13" s="147">
        <f t="shared" si="7"/>
        <v>0.68350000000000044</v>
      </c>
      <c r="X13" s="148">
        <f t="shared" si="8"/>
        <v>6.9110212335692658E-2</v>
      </c>
      <c r="Y13" s="36" t="s">
        <v>27</v>
      </c>
      <c r="Z13" s="202" t="s">
        <v>794</v>
      </c>
    </row>
    <row r="14" spans="1:26">
      <c r="A14" s="9" t="s">
        <v>815</v>
      </c>
      <c r="B14" s="10">
        <v>150</v>
      </c>
      <c r="C14" s="9" t="s">
        <v>97</v>
      </c>
      <c r="D14" s="10" t="s">
        <v>791</v>
      </c>
      <c r="E14" s="11" t="s">
        <v>792</v>
      </c>
      <c r="F14" s="9" t="s">
        <v>816</v>
      </c>
      <c r="H14" s="26"/>
      <c r="I14" s="149">
        <v>12.07</v>
      </c>
      <c r="J14" s="149">
        <f t="shared" si="0"/>
        <v>11.89</v>
      </c>
      <c r="K14" s="149">
        <v>13.3977</v>
      </c>
      <c r="L14" s="149"/>
      <c r="M14" s="143">
        <f t="shared" si="1"/>
        <v>1.5076999999999998</v>
      </c>
      <c r="N14" s="144">
        <f t="shared" si="2"/>
        <v>0.12680403700588727</v>
      </c>
      <c r="O14" s="150">
        <v>11.67</v>
      </c>
      <c r="P14" s="150">
        <f t="shared" si="3"/>
        <v>11.49</v>
      </c>
      <c r="Q14" s="150">
        <v>12.4869</v>
      </c>
      <c r="R14" s="31">
        <f t="shared" si="4"/>
        <v>0.99690000000000012</v>
      </c>
      <c r="S14" s="138">
        <f t="shared" si="5"/>
        <v>8.6762402088772853E-2</v>
      </c>
      <c r="T14" s="153">
        <v>11.44</v>
      </c>
      <c r="U14" s="153">
        <f t="shared" si="6"/>
        <v>11.26</v>
      </c>
      <c r="V14" s="153">
        <v>12.011999999999999</v>
      </c>
      <c r="W14" s="147">
        <f t="shared" si="7"/>
        <v>0.75199999999999889</v>
      </c>
      <c r="X14" s="148">
        <f t="shared" si="8"/>
        <v>6.678507992895194E-2</v>
      </c>
      <c r="Y14" s="36" t="s">
        <v>27</v>
      </c>
      <c r="Z14" s="202" t="s">
        <v>794</v>
      </c>
    </row>
    <row r="15" spans="1:26">
      <c r="A15" s="9" t="s">
        <v>817</v>
      </c>
      <c r="B15" s="10">
        <v>150</v>
      </c>
      <c r="C15" s="9" t="s">
        <v>97</v>
      </c>
      <c r="D15" s="10" t="s">
        <v>791</v>
      </c>
      <c r="E15" s="11" t="s">
        <v>792</v>
      </c>
      <c r="F15" s="9" t="s">
        <v>818</v>
      </c>
      <c r="H15" s="26"/>
      <c r="I15" s="149">
        <v>10.98</v>
      </c>
      <c r="J15" s="149">
        <f t="shared" si="0"/>
        <v>10.8</v>
      </c>
      <c r="K15" s="149">
        <v>12.187800000000001</v>
      </c>
      <c r="L15" s="149"/>
      <c r="M15" s="143">
        <f t="shared" si="1"/>
        <v>1.3878000000000004</v>
      </c>
      <c r="N15" s="144">
        <f t="shared" si="2"/>
        <v>0.12850000000000003</v>
      </c>
      <c r="O15" s="150">
        <v>10.58</v>
      </c>
      <c r="P15" s="150">
        <f t="shared" si="3"/>
        <v>10.4</v>
      </c>
      <c r="Q15" s="150">
        <v>11.320600000000001</v>
      </c>
      <c r="R15" s="31">
        <f t="shared" si="4"/>
        <v>0.92060000000000031</v>
      </c>
      <c r="S15" s="138">
        <f t="shared" si="5"/>
        <v>8.8519230769230794E-2</v>
      </c>
      <c r="T15" s="153">
        <v>10.37</v>
      </c>
      <c r="U15" s="153">
        <f t="shared" si="6"/>
        <v>10.19</v>
      </c>
      <c r="V15" s="153">
        <v>10.888499999999999</v>
      </c>
      <c r="W15" s="147">
        <f t="shared" si="7"/>
        <v>0.69849999999999923</v>
      </c>
      <c r="X15" s="148">
        <f t="shared" si="8"/>
        <v>6.8547595682041149E-2</v>
      </c>
      <c r="Y15" s="36" t="s">
        <v>27</v>
      </c>
      <c r="Z15" s="202" t="s">
        <v>794</v>
      </c>
    </row>
    <row r="16" spans="1:26">
      <c r="A16" s="9" t="s">
        <v>819</v>
      </c>
      <c r="B16" s="10">
        <v>150</v>
      </c>
      <c r="C16" s="9" t="s">
        <v>97</v>
      </c>
      <c r="D16" s="10">
        <v>1001</v>
      </c>
      <c r="E16" s="11" t="s">
        <v>792</v>
      </c>
      <c r="F16" s="9" t="s">
        <v>820</v>
      </c>
      <c r="H16" s="26"/>
      <c r="I16" s="149">
        <v>10.199999999999999</v>
      </c>
      <c r="J16" s="149">
        <f t="shared" si="0"/>
        <v>10.02</v>
      </c>
      <c r="K16" s="149">
        <v>11.219999999999999</v>
      </c>
      <c r="L16" s="149"/>
      <c r="M16" s="143">
        <f t="shared" si="1"/>
        <v>1.1999999999999993</v>
      </c>
      <c r="N16" s="144">
        <f t="shared" si="2"/>
        <v>0.1197604790419161</v>
      </c>
      <c r="O16" s="150">
        <v>9.8000000000000007</v>
      </c>
      <c r="P16" s="150">
        <f t="shared" si="3"/>
        <v>9.620000000000001</v>
      </c>
      <c r="Q16" s="150">
        <v>10.486000000000001</v>
      </c>
      <c r="R16" s="31">
        <f t="shared" si="4"/>
        <v>0.86599999999999966</v>
      </c>
      <c r="S16" s="138">
        <f t="shared" si="5"/>
        <v>9.002079002078997E-2</v>
      </c>
      <c r="T16" s="153">
        <v>9.6</v>
      </c>
      <c r="U16" s="153">
        <f t="shared" si="6"/>
        <v>9.42</v>
      </c>
      <c r="V16" s="153">
        <v>10.08</v>
      </c>
      <c r="W16" s="147">
        <f t="shared" si="7"/>
        <v>0.66000000000000014</v>
      </c>
      <c r="X16" s="148">
        <f t="shared" si="8"/>
        <v>7.0063694267515936E-2</v>
      </c>
      <c r="Y16" s="36" t="s">
        <v>27</v>
      </c>
      <c r="Z16" s="202" t="s">
        <v>794</v>
      </c>
    </row>
    <row r="17" spans="1:26" ht="15.75" customHeight="1">
      <c r="A17" s="9" t="s">
        <v>821</v>
      </c>
      <c r="B17" s="10" t="str">
        <f>LEFT(A17,3)</f>
        <v>100</v>
      </c>
      <c r="C17" s="9" t="s">
        <v>113</v>
      </c>
      <c r="D17" s="10">
        <v>1001</v>
      </c>
      <c r="E17" s="11" t="s">
        <v>792</v>
      </c>
      <c r="F17" s="9" t="s">
        <v>822</v>
      </c>
      <c r="H17" s="26"/>
      <c r="I17" s="149">
        <v>7.6</v>
      </c>
      <c r="J17" s="149">
        <v>7.6</v>
      </c>
      <c r="K17" s="149">
        <v>8.4499999999999993</v>
      </c>
      <c r="L17" s="286">
        <f>1.27*K17</f>
        <v>10.731499999999999</v>
      </c>
      <c r="M17" s="143">
        <f t="shared" si="1"/>
        <v>0.84999999999999964</v>
      </c>
      <c r="N17" s="144">
        <f t="shared" si="2"/>
        <v>0.11184210526315785</v>
      </c>
      <c r="O17" s="152"/>
      <c r="P17" s="152"/>
      <c r="Y17" s="36" t="s">
        <v>27</v>
      </c>
      <c r="Z17" s="202" t="s">
        <v>794</v>
      </c>
    </row>
    <row r="18" spans="1:26">
      <c r="A18" s="9" t="s">
        <v>823</v>
      </c>
      <c r="B18" s="10" t="str">
        <f>LEFT(A18,3)</f>
        <v>100</v>
      </c>
      <c r="C18" s="9" t="s">
        <v>113</v>
      </c>
      <c r="D18" s="10" t="s">
        <v>791</v>
      </c>
      <c r="E18" s="11" t="s">
        <v>792</v>
      </c>
      <c r="F18" s="9" t="s">
        <v>824</v>
      </c>
      <c r="H18" s="26"/>
      <c r="I18" s="149">
        <v>10.199999999999999</v>
      </c>
      <c r="J18" s="149">
        <v>10.199999999999999</v>
      </c>
      <c r="K18" s="149">
        <v>10.9</v>
      </c>
      <c r="L18" s="286">
        <f>1.27*K18</f>
        <v>13.843</v>
      </c>
      <c r="M18" s="143">
        <f t="shared" si="1"/>
        <v>0.70000000000000107</v>
      </c>
      <c r="N18" s="144">
        <f t="shared" si="2"/>
        <v>6.862745098039226E-2</v>
      </c>
      <c r="O18" s="152"/>
      <c r="P18" s="152"/>
      <c r="S18" s="152"/>
      <c r="Y18" s="36" t="s">
        <v>27</v>
      </c>
      <c r="Z18" s="202" t="s">
        <v>794</v>
      </c>
    </row>
    <row r="19" spans="1:26">
      <c r="A19" s="9" t="s">
        <v>825</v>
      </c>
      <c r="B19" s="10" t="str">
        <f>LEFT(A19,2)</f>
        <v>90</v>
      </c>
      <c r="C19" s="9" t="s">
        <v>826</v>
      </c>
      <c r="D19" s="10" t="s">
        <v>791</v>
      </c>
      <c r="E19" s="11" t="s">
        <v>792</v>
      </c>
      <c r="F19" s="9" t="s">
        <v>827</v>
      </c>
      <c r="H19" s="26"/>
      <c r="I19" s="149">
        <v>10.050000000000001</v>
      </c>
      <c r="J19" s="149">
        <v>10.050000000000001</v>
      </c>
      <c r="K19" s="149">
        <v>10.55</v>
      </c>
      <c r="L19" s="286">
        <f>1.27*K19</f>
        <v>13.3985</v>
      </c>
      <c r="M19" s="143">
        <f t="shared" si="1"/>
        <v>0.5</v>
      </c>
      <c r="N19" s="144">
        <f t="shared" si="2"/>
        <v>4.9751243781094523E-2</v>
      </c>
      <c r="O19" s="152"/>
      <c r="P19" s="152"/>
      <c r="Y19" s="36" t="s">
        <v>27</v>
      </c>
      <c r="Z19" s="202" t="s">
        <v>794</v>
      </c>
    </row>
    <row r="20" spans="1:26">
      <c r="A20" s="9" t="s">
        <v>828</v>
      </c>
      <c r="B20" s="10" t="str">
        <f t="shared" ref="B20:B27" si="9">LEFT(A20,3)</f>
        <v>100</v>
      </c>
      <c r="C20" s="9" t="s">
        <v>113</v>
      </c>
      <c r="D20" s="10">
        <v>1001</v>
      </c>
      <c r="E20" s="11" t="s">
        <v>792</v>
      </c>
      <c r="F20" s="9" t="s">
        <v>829</v>
      </c>
      <c r="H20" s="26"/>
      <c r="I20" s="149">
        <v>9.25</v>
      </c>
      <c r="J20" s="149">
        <v>9.25</v>
      </c>
      <c r="K20" s="149">
        <v>10.1</v>
      </c>
      <c r="L20" s="286">
        <f>1.27*K20</f>
        <v>12.827</v>
      </c>
      <c r="M20" s="143">
        <f t="shared" si="1"/>
        <v>0.84999999999999964</v>
      </c>
      <c r="N20" s="144">
        <f t="shared" si="2"/>
        <v>9.1891891891891855E-2</v>
      </c>
      <c r="O20" s="152"/>
      <c r="P20" s="152"/>
      <c r="Y20" s="36" t="s">
        <v>27</v>
      </c>
      <c r="Z20" s="202" t="s">
        <v>794</v>
      </c>
    </row>
    <row r="21" spans="1:26">
      <c r="A21" s="9" t="s">
        <v>830</v>
      </c>
      <c r="B21" s="10" t="str">
        <f t="shared" si="9"/>
        <v>100</v>
      </c>
      <c r="C21" s="9" t="s">
        <v>113</v>
      </c>
      <c r="D21" s="10" t="s">
        <v>791</v>
      </c>
      <c r="E21" s="11" t="s">
        <v>792</v>
      </c>
      <c r="F21" s="9" t="s">
        <v>831</v>
      </c>
      <c r="H21" s="26"/>
      <c r="I21" s="149">
        <v>8.4</v>
      </c>
      <c r="J21" s="149">
        <v>8.4</v>
      </c>
      <c r="K21" s="149">
        <v>9.1999999999999993</v>
      </c>
      <c r="L21" s="286">
        <f>1.27*K21</f>
        <v>11.683999999999999</v>
      </c>
      <c r="M21" s="143">
        <f t="shared" si="1"/>
        <v>0.79999999999999893</v>
      </c>
      <c r="N21" s="144">
        <f t="shared" si="2"/>
        <v>9.5238095238095108E-2</v>
      </c>
      <c r="O21" s="152"/>
      <c r="P21" s="152"/>
      <c r="Y21" s="36" t="s">
        <v>27</v>
      </c>
      <c r="Z21" s="202" t="s">
        <v>794</v>
      </c>
    </row>
    <row r="22" spans="1:26">
      <c r="A22" s="9" t="s">
        <v>832</v>
      </c>
      <c r="B22" s="10" t="str">
        <f t="shared" si="9"/>
        <v>100</v>
      </c>
      <c r="C22" s="9" t="s">
        <v>113</v>
      </c>
      <c r="D22" s="10" t="s">
        <v>791</v>
      </c>
      <c r="E22" s="11" t="s">
        <v>792</v>
      </c>
      <c r="F22" s="9" t="s">
        <v>833</v>
      </c>
      <c r="H22" s="26"/>
      <c r="I22" s="149">
        <v>9.65</v>
      </c>
      <c r="J22" s="149">
        <v>9.65</v>
      </c>
      <c r="K22" s="149">
        <v>10.55</v>
      </c>
      <c r="L22" s="286">
        <f t="shared" ref="L22:L28" si="10">1.27*K22</f>
        <v>13.3985</v>
      </c>
      <c r="M22" s="143">
        <f t="shared" si="1"/>
        <v>0.90000000000000036</v>
      </c>
      <c r="N22" s="144">
        <f t="shared" si="2"/>
        <v>9.3264248704663252E-2</v>
      </c>
      <c r="O22" s="152"/>
      <c r="P22" s="152"/>
      <c r="Y22" s="36" t="s">
        <v>27</v>
      </c>
      <c r="Z22" s="202" t="s">
        <v>794</v>
      </c>
    </row>
    <row r="23" spans="1:26">
      <c r="A23" s="9" t="s">
        <v>834</v>
      </c>
      <c r="B23" s="10" t="str">
        <f t="shared" ref="B23" si="11">LEFT(A23,3)</f>
        <v>100</v>
      </c>
      <c r="C23" s="9" t="s">
        <v>113</v>
      </c>
      <c r="D23" s="10" t="s">
        <v>791</v>
      </c>
      <c r="E23" s="11" t="s">
        <v>792</v>
      </c>
      <c r="F23" s="9" t="s">
        <v>835</v>
      </c>
      <c r="H23" s="26"/>
      <c r="I23" s="149">
        <v>10.5</v>
      </c>
      <c r="J23" s="149">
        <v>10.5</v>
      </c>
      <c r="K23" s="149">
        <v>11.55</v>
      </c>
      <c r="L23" s="286">
        <f t="shared" si="10"/>
        <v>14.668500000000002</v>
      </c>
      <c r="M23" s="143">
        <f t="shared" si="1"/>
        <v>1.0500000000000007</v>
      </c>
      <c r="N23" s="144">
        <f t="shared" si="2"/>
        <v>0.10000000000000006</v>
      </c>
      <c r="O23" s="152"/>
      <c r="P23" s="152"/>
      <c r="Y23" s="36" t="s">
        <v>27</v>
      </c>
      <c r="Z23" s="202" t="s">
        <v>794</v>
      </c>
    </row>
    <row r="24" spans="1:26">
      <c r="A24" s="9" t="s">
        <v>836</v>
      </c>
      <c r="B24" s="10" t="str">
        <f t="shared" si="9"/>
        <v>100</v>
      </c>
      <c r="C24" s="9" t="s">
        <v>113</v>
      </c>
      <c r="D24" s="10" t="s">
        <v>791</v>
      </c>
      <c r="E24" s="11" t="s">
        <v>792</v>
      </c>
      <c r="F24" s="9" t="s">
        <v>837</v>
      </c>
      <c r="H24" s="26"/>
      <c r="I24" s="149">
        <v>8.4</v>
      </c>
      <c r="J24" s="149">
        <v>8.4</v>
      </c>
      <c r="K24" s="149">
        <v>9.6999999999999993</v>
      </c>
      <c r="L24" s="286">
        <f t="shared" si="10"/>
        <v>12.318999999999999</v>
      </c>
      <c r="M24" s="143">
        <f t="shared" si="1"/>
        <v>1.2999999999999989</v>
      </c>
      <c r="N24" s="144">
        <f t="shared" si="2"/>
        <v>0.15476190476190463</v>
      </c>
      <c r="O24" s="152"/>
      <c r="P24" s="152"/>
      <c r="Y24" s="36" t="s">
        <v>27</v>
      </c>
      <c r="Z24" s="202" t="s">
        <v>794</v>
      </c>
    </row>
    <row r="25" spans="1:26">
      <c r="A25" s="9" t="s">
        <v>838</v>
      </c>
      <c r="B25" s="10" t="str">
        <f t="shared" si="9"/>
        <v>100</v>
      </c>
      <c r="C25" s="9" t="s">
        <v>113</v>
      </c>
      <c r="D25" s="10" t="s">
        <v>791</v>
      </c>
      <c r="E25" s="11" t="s">
        <v>792</v>
      </c>
      <c r="F25" s="9" t="s">
        <v>839</v>
      </c>
      <c r="H25" s="26"/>
      <c r="I25" s="149">
        <v>9.25</v>
      </c>
      <c r="J25" s="149">
        <v>9.25</v>
      </c>
      <c r="K25" s="149">
        <v>10.1</v>
      </c>
      <c r="L25" s="286">
        <f t="shared" si="10"/>
        <v>12.827</v>
      </c>
      <c r="M25" s="143">
        <f t="shared" si="1"/>
        <v>0.84999999999999964</v>
      </c>
      <c r="N25" s="144">
        <f t="shared" si="2"/>
        <v>9.1891891891891855E-2</v>
      </c>
      <c r="O25" s="152"/>
      <c r="P25" s="152"/>
      <c r="Y25" s="36" t="s">
        <v>27</v>
      </c>
      <c r="Z25" s="202" t="s">
        <v>794</v>
      </c>
    </row>
    <row r="26" spans="1:26">
      <c r="A26" s="9" t="s">
        <v>840</v>
      </c>
      <c r="B26" s="10" t="str">
        <f t="shared" si="9"/>
        <v>100</v>
      </c>
      <c r="C26" s="9" t="s">
        <v>113</v>
      </c>
      <c r="D26" s="10" t="s">
        <v>791</v>
      </c>
      <c r="E26" s="11" t="s">
        <v>792</v>
      </c>
      <c r="F26" s="9" t="s">
        <v>841</v>
      </c>
      <c r="H26" s="26"/>
      <c r="I26" s="149">
        <v>6</v>
      </c>
      <c r="J26" s="149">
        <v>6</v>
      </c>
      <c r="K26" s="149">
        <v>6.7</v>
      </c>
      <c r="L26" s="286">
        <f t="shared" si="10"/>
        <v>8.5090000000000003</v>
      </c>
      <c r="M26" s="143">
        <f t="shared" si="1"/>
        <v>0.70000000000000018</v>
      </c>
      <c r="N26" s="144">
        <f t="shared" si="2"/>
        <v>0.1166666666666667</v>
      </c>
      <c r="O26" s="152"/>
      <c r="P26" s="152"/>
      <c r="Y26" s="36" t="s">
        <v>27</v>
      </c>
      <c r="Z26" s="202" t="s">
        <v>794</v>
      </c>
    </row>
    <row r="27" spans="1:26">
      <c r="A27" s="9" t="s">
        <v>842</v>
      </c>
      <c r="B27" s="10" t="str">
        <f t="shared" si="9"/>
        <v>100</v>
      </c>
      <c r="C27" s="9" t="s">
        <v>113</v>
      </c>
      <c r="D27" s="10" t="s">
        <v>791</v>
      </c>
      <c r="E27" s="11" t="s">
        <v>792</v>
      </c>
      <c r="F27" s="9" t="s">
        <v>843</v>
      </c>
      <c r="H27" s="26"/>
      <c r="I27" s="149">
        <v>6</v>
      </c>
      <c r="J27" s="149">
        <v>6</v>
      </c>
      <c r="K27" s="149">
        <v>6.2</v>
      </c>
      <c r="L27" s="286">
        <f t="shared" si="10"/>
        <v>7.8740000000000006</v>
      </c>
      <c r="M27" s="143">
        <f t="shared" si="1"/>
        <v>0.20000000000000018</v>
      </c>
      <c r="N27" s="144">
        <f t="shared" si="2"/>
        <v>3.3333333333333361E-2</v>
      </c>
      <c r="O27" s="152"/>
      <c r="P27" s="152"/>
      <c r="Y27" s="36" t="s">
        <v>27</v>
      </c>
      <c r="Z27" s="202" t="s">
        <v>794</v>
      </c>
    </row>
    <row r="28" spans="1:26">
      <c r="A28" s="9" t="s">
        <v>844</v>
      </c>
      <c r="B28" s="10" t="str">
        <f>LEFT(A28,3)</f>
        <v>100</v>
      </c>
      <c r="C28" s="9" t="s">
        <v>113</v>
      </c>
      <c r="D28" s="10" t="s">
        <v>791</v>
      </c>
      <c r="E28" s="11" t="s">
        <v>792</v>
      </c>
      <c r="F28" s="9" t="s">
        <v>845</v>
      </c>
      <c r="H28" s="26"/>
      <c r="I28" s="149">
        <v>6</v>
      </c>
      <c r="J28" s="149">
        <v>6</v>
      </c>
      <c r="K28" s="149">
        <v>6.7</v>
      </c>
      <c r="L28" s="286">
        <f t="shared" si="10"/>
        <v>8.5090000000000003</v>
      </c>
      <c r="M28" s="143">
        <f t="shared" si="1"/>
        <v>0.70000000000000018</v>
      </c>
      <c r="N28" s="144">
        <f t="shared" si="2"/>
        <v>0.1166666666666667</v>
      </c>
      <c r="O28" s="152"/>
      <c r="P28" s="152"/>
      <c r="Y28" s="36" t="s">
        <v>27</v>
      </c>
      <c r="Z28" s="202" t="s">
        <v>794</v>
      </c>
    </row>
  </sheetData>
  <autoFilter ref="A2:F28" xr:uid="{6E0DE24B-A392-4F33-AC35-F494ED547A4C}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DD7D1801801F142B1A46DA607EE602C" ma:contentTypeVersion="17" ma:contentTypeDescription="Ein neues Dokument erstellen." ma:contentTypeScope="" ma:versionID="3ac2699f7dd472ff25bc52a51e4caee1">
  <xsd:schema xmlns:xsd="http://www.w3.org/2001/XMLSchema" xmlns:xs="http://www.w3.org/2001/XMLSchema" xmlns:p="http://schemas.microsoft.com/office/2006/metadata/properties" xmlns:ns2="68e8dd5a-30a9-457b-bf2f-6c824b129d3c" xmlns:ns3="7f78c8de-3567-42d3-8e2f-dda0c719ef6b" targetNamespace="http://schemas.microsoft.com/office/2006/metadata/properties" ma:root="true" ma:fieldsID="a9ef1502d8f56736228ffa83c772bb09" ns2:_="" ns3:_="">
    <xsd:import namespace="68e8dd5a-30a9-457b-bf2f-6c824b129d3c"/>
    <xsd:import namespace="7f78c8de-3567-42d3-8e2f-dda0c719e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e8dd5a-30a9-457b-bf2f-6c824b129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a0545e65-e8d9-4d32-a37c-f20d94837d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8c8de-3567-42d3-8e2f-dda0c719ef6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b3e2bed-9b4b-482e-8ab7-761fb00cb648}" ma:internalName="TaxCatchAll" ma:showField="CatchAllData" ma:web="7f78c8de-3567-42d3-8e2f-dda0c719e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78c8de-3567-42d3-8e2f-dda0c719ef6b" xsi:nil="true"/>
    <lcf76f155ced4ddcb4097134ff3c332f xmlns="68e8dd5a-30a9-457b-bf2f-6c824b129d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D8B914-AEB9-41C6-8A6E-0D4EA2432C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E2C3CD-611F-4FBA-B492-CE556A8D9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e8dd5a-30a9-457b-bf2f-6c824b129d3c"/>
    <ds:schemaRef ds:uri="7f78c8de-3567-42d3-8e2f-dda0c719e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C07251-DA41-4872-AD34-2713A3130CFD}">
  <ds:schemaRefs>
    <ds:schemaRef ds:uri="http://schemas.microsoft.com/office/2006/metadata/properties"/>
    <ds:schemaRef ds:uri="http://schemas.microsoft.com/office/infopath/2007/PartnerControls"/>
    <ds:schemaRef ds:uri="7f78c8de-3567-42d3-8e2f-dda0c719ef6b"/>
    <ds:schemaRef ds:uri="68e8dd5a-30a9-457b-bf2f-6c824b129d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Preise</vt:lpstr>
      <vt:lpstr>Univita</vt:lpstr>
      <vt:lpstr>Rusartrade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sabin</dc:creator>
  <cp:keywords/>
  <dc:description/>
  <cp:lastModifiedBy>Michelle Stucki</cp:lastModifiedBy>
  <cp:revision/>
  <dcterms:created xsi:type="dcterms:W3CDTF">2022-05-01T13:20:43Z</dcterms:created>
  <dcterms:modified xsi:type="dcterms:W3CDTF">2025-09-23T08:32:17Z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0x010100BDD7D1801801F142B1A46DA607EE602C</vt:lpwstr>
  </property>
  <property fmtid="{D5CDD505-2E9C-101B-9397-08002B2CF9AE}" pid="3" name="MediaServiceImageTags">
    <vt:lpwstr/>
  </property>
</Properties>
</file>